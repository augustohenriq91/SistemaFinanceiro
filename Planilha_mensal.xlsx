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e3843c53c825d/Documentos/Pessoal/Faturamentos/2025/"/>
    </mc:Choice>
  </mc:AlternateContent>
  <xr:revisionPtr revIDLastSave="1047" documentId="8_{8E77603A-DBE8-4438-ABAF-D647F16F3DAA}" xr6:coauthVersionLast="47" xr6:coauthVersionMax="47" xr10:uidLastSave="{FBDDF99D-7F17-44A9-9AB2-BB5E01B8E437}"/>
  <bookViews>
    <workbookView xWindow="-20610" yWindow="-120" windowWidth="20730" windowHeight="11160" tabRatio="955" activeTab="7" xr2:uid="{00000000-000D-0000-FFFF-FFFF00000000}"/>
  </bookViews>
  <sheets>
    <sheet name="Faturamento" sheetId="13" r:id="rId1"/>
    <sheet name="Janeiro" sheetId="29" r:id="rId2"/>
    <sheet name="Fevereiro" sheetId="2" r:id="rId3"/>
    <sheet name="Março" sheetId="18" r:id="rId4"/>
    <sheet name="Abril" sheetId="19" r:id="rId5"/>
    <sheet name="Maio" sheetId="20" r:id="rId6"/>
    <sheet name="Junho" sheetId="21" r:id="rId7"/>
    <sheet name="Julho" sheetId="22" r:id="rId8"/>
    <sheet name="Agosto" sheetId="23" r:id="rId9"/>
    <sheet name="Setembro" sheetId="24" r:id="rId10"/>
    <sheet name="Outubro" sheetId="25" r:id="rId11"/>
    <sheet name="Novembro" sheetId="26" r:id="rId12"/>
    <sheet name="Dezembro" sheetId="28" r:id="rId13"/>
    <sheet name="Janeiro2" sheetId="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2" l="1"/>
  <c r="K13" i="22"/>
  <c r="J13" i="22"/>
  <c r="E13" i="22"/>
  <c r="V22" i="22"/>
  <c r="W22" i="22" s="1"/>
  <c r="D18" i="22"/>
  <c r="D13" i="22" s="1"/>
  <c r="R11" i="22"/>
  <c r="Q11" i="22"/>
  <c r="P11" i="22"/>
  <c r="O11" i="22"/>
  <c r="N11" i="22"/>
  <c r="R10" i="22"/>
  <c r="Q10" i="22"/>
  <c r="P10" i="22"/>
  <c r="O10" i="22"/>
  <c r="N10" i="22"/>
  <c r="R9" i="22"/>
  <c r="Q9" i="22"/>
  <c r="P9" i="22"/>
  <c r="O9" i="22"/>
  <c r="N9" i="22"/>
  <c r="R8" i="22"/>
  <c r="Q8" i="22"/>
  <c r="P8" i="22"/>
  <c r="O8" i="22"/>
  <c r="N8" i="22"/>
  <c r="J8" i="22"/>
  <c r="R7" i="22"/>
  <c r="Q7" i="22"/>
  <c r="P7" i="22"/>
  <c r="O7" i="22"/>
  <c r="N7" i="22"/>
  <c r="Y5" i="22"/>
  <c r="J5" i="22"/>
  <c r="J7" i="22" s="1"/>
  <c r="Y4" i="22"/>
  <c r="Y9" i="22" s="1"/>
  <c r="J2" i="22"/>
  <c r="K13" i="21"/>
  <c r="E22" i="21"/>
  <c r="J23" i="22" l="1"/>
  <c r="B3" i="22"/>
  <c r="J3" i="22" s="1"/>
  <c r="Y6" i="22"/>
  <c r="J18" i="22"/>
  <c r="O4" i="22"/>
  <c r="J20" i="22"/>
  <c r="J21" i="22"/>
  <c r="J9" i="22"/>
  <c r="J19" i="22"/>
  <c r="Y11" i="22"/>
  <c r="J22" i="22" s="1"/>
  <c r="D13" i="20"/>
  <c r="K13" i="20"/>
  <c r="J13" i="20"/>
  <c r="V22" i="21"/>
  <c r="W22" i="21" s="1"/>
  <c r="D18" i="21"/>
  <c r="D13" i="21" s="1"/>
  <c r="E13" i="21"/>
  <c r="R11" i="21"/>
  <c r="Q11" i="21"/>
  <c r="P11" i="21"/>
  <c r="O11" i="21"/>
  <c r="N11" i="21"/>
  <c r="R10" i="21"/>
  <c r="Q10" i="21"/>
  <c r="P10" i="21"/>
  <c r="O10" i="21"/>
  <c r="N10" i="21"/>
  <c r="R9" i="21"/>
  <c r="Q9" i="21"/>
  <c r="P9" i="21"/>
  <c r="O9" i="21"/>
  <c r="N9" i="21"/>
  <c r="R8" i="21"/>
  <c r="Q8" i="21"/>
  <c r="P8" i="21"/>
  <c r="O8" i="21"/>
  <c r="N8" i="21"/>
  <c r="J8" i="21"/>
  <c r="R7" i="21"/>
  <c r="Q7" i="21"/>
  <c r="P7" i="21"/>
  <c r="O7" i="21"/>
  <c r="N7" i="21"/>
  <c r="Y5" i="21"/>
  <c r="J5" i="21"/>
  <c r="J7" i="21" s="1"/>
  <c r="Y4" i="21"/>
  <c r="Y11" i="21" s="1"/>
  <c r="J22" i="21" s="1"/>
  <c r="J2" i="21"/>
  <c r="R7" i="20"/>
  <c r="Q7" i="20"/>
  <c r="P7" i="20"/>
  <c r="O7" i="20"/>
  <c r="N7" i="20"/>
  <c r="E24" i="20"/>
  <c r="E13" i="20" s="1"/>
  <c r="D13" i="19"/>
  <c r="V22" i="20"/>
  <c r="W22" i="20" s="1"/>
  <c r="R11" i="20"/>
  <c r="Q11" i="20"/>
  <c r="P11" i="20"/>
  <c r="O11" i="20"/>
  <c r="N11" i="20"/>
  <c r="R10" i="20"/>
  <c r="Q10" i="20"/>
  <c r="P10" i="20"/>
  <c r="O10" i="20"/>
  <c r="N10" i="20"/>
  <c r="R9" i="20"/>
  <c r="Q9" i="20"/>
  <c r="P9" i="20"/>
  <c r="O9" i="20"/>
  <c r="N9" i="20"/>
  <c r="R8" i="20"/>
  <c r="Q8" i="20"/>
  <c r="P8" i="20"/>
  <c r="O8" i="20"/>
  <c r="N8" i="20"/>
  <c r="Y5" i="20"/>
  <c r="Y4" i="20"/>
  <c r="Y9" i="20" s="1"/>
  <c r="D18" i="20"/>
  <c r="K33" i="19"/>
  <c r="K13" i="19" s="1"/>
  <c r="J13" i="19"/>
  <c r="K32" i="19"/>
  <c r="R10" i="19"/>
  <c r="Q10" i="19"/>
  <c r="P10" i="19"/>
  <c r="O10" i="19"/>
  <c r="N10" i="19"/>
  <c r="E24" i="19"/>
  <c r="E13" i="19" s="1"/>
  <c r="V22" i="19"/>
  <c r="W22" i="19" s="1"/>
  <c r="D18" i="19"/>
  <c r="R11" i="19"/>
  <c r="Q11" i="19"/>
  <c r="P11" i="19"/>
  <c r="O11" i="19"/>
  <c r="N11" i="19"/>
  <c r="R9" i="19"/>
  <c r="Q9" i="19"/>
  <c r="P9" i="19"/>
  <c r="O9" i="19"/>
  <c r="N9" i="19"/>
  <c r="R8" i="19"/>
  <c r="Q8" i="19"/>
  <c r="P8" i="19"/>
  <c r="O8" i="19"/>
  <c r="N8" i="19"/>
  <c r="J8" i="19"/>
  <c r="R7" i="19"/>
  <c r="Q7" i="19"/>
  <c r="P7" i="19"/>
  <c r="O7" i="19"/>
  <c r="N7" i="19"/>
  <c r="Y5" i="19"/>
  <c r="J5" i="19"/>
  <c r="J7" i="19" s="1"/>
  <c r="Y4" i="19"/>
  <c r="Y9" i="19" s="1"/>
  <c r="J2" i="19"/>
  <c r="K24" i="18"/>
  <c r="K23" i="18"/>
  <c r="E29" i="2"/>
  <c r="E24" i="18"/>
  <c r="E13" i="18" s="1"/>
  <c r="V22" i="18"/>
  <c r="W22" i="18" s="1"/>
  <c r="D18" i="18"/>
  <c r="D13" i="18" s="1"/>
  <c r="R11" i="18"/>
  <c r="Q11" i="18"/>
  <c r="P11" i="18"/>
  <c r="O11" i="18"/>
  <c r="N11" i="18"/>
  <c r="R10" i="18"/>
  <c r="Q10" i="18"/>
  <c r="P10" i="18"/>
  <c r="O10" i="18"/>
  <c r="N10" i="18"/>
  <c r="R9" i="18"/>
  <c r="Q9" i="18"/>
  <c r="P9" i="18"/>
  <c r="O9" i="18"/>
  <c r="N9" i="18"/>
  <c r="R8" i="18"/>
  <c r="Q8" i="18"/>
  <c r="P8" i="18"/>
  <c r="O8" i="18"/>
  <c r="N8" i="18"/>
  <c r="R7" i="18"/>
  <c r="Q7" i="18"/>
  <c r="P7" i="18"/>
  <c r="O7" i="18"/>
  <c r="N7" i="18"/>
  <c r="Y5" i="18"/>
  <c r="J5" i="18"/>
  <c r="J7" i="18" s="1"/>
  <c r="Y4" i="18"/>
  <c r="Y9" i="18" s="1"/>
  <c r="J2" i="18"/>
  <c r="D18" i="2"/>
  <c r="E24" i="2"/>
  <c r="K29" i="2"/>
  <c r="K25" i="2"/>
  <c r="Q10" i="2"/>
  <c r="P10" i="2"/>
  <c r="O10" i="2"/>
  <c r="N10" i="2"/>
  <c r="R10" i="2"/>
  <c r="R11" i="2"/>
  <c r="Q11" i="2"/>
  <c r="P11" i="2"/>
  <c r="O11" i="2"/>
  <c r="N11" i="2"/>
  <c r="N7" i="2"/>
  <c r="O7" i="2"/>
  <c r="P7" i="2"/>
  <c r="Q7" i="2"/>
  <c r="R7" i="2"/>
  <c r="D13" i="29"/>
  <c r="E24" i="29"/>
  <c r="E13" i="29" s="1"/>
  <c r="K24" i="29"/>
  <c r="B7" i="22" l="1"/>
  <c r="J9" i="21"/>
  <c r="J23" i="21"/>
  <c r="J21" i="21"/>
  <c r="Y6" i="21"/>
  <c r="J18" i="21"/>
  <c r="Y9" i="21"/>
  <c r="J20" i="21"/>
  <c r="J19" i="20"/>
  <c r="J19" i="21"/>
  <c r="O4" i="21"/>
  <c r="O4" i="20"/>
  <c r="Y11" i="20"/>
  <c r="J22" i="20" s="1"/>
  <c r="Y6" i="20"/>
  <c r="O4" i="19"/>
  <c r="J22" i="19"/>
  <c r="J19" i="19"/>
  <c r="J20" i="19"/>
  <c r="J18" i="19"/>
  <c r="J9" i="19"/>
  <c r="Y11" i="19"/>
  <c r="J21" i="19" s="1"/>
  <c r="Y6" i="19"/>
  <c r="Y6" i="18"/>
  <c r="J20" i="18"/>
  <c r="K13" i="18"/>
  <c r="J9" i="18" s="1"/>
  <c r="J8" i="18"/>
  <c r="J22" i="18"/>
  <c r="J18" i="18"/>
  <c r="O4" i="18"/>
  <c r="J19" i="18"/>
  <c r="Y11" i="18"/>
  <c r="J21" i="18" s="1"/>
  <c r="J22" i="2"/>
  <c r="V22" i="2"/>
  <c r="W22" i="2" s="1"/>
  <c r="D13" i="2"/>
  <c r="K13" i="2"/>
  <c r="E13" i="2"/>
  <c r="R9" i="2"/>
  <c r="Q9" i="2"/>
  <c r="P9" i="2"/>
  <c r="O9" i="2"/>
  <c r="N9" i="2"/>
  <c r="R8" i="2"/>
  <c r="Q8" i="2"/>
  <c r="P8" i="2"/>
  <c r="O8" i="2"/>
  <c r="N8" i="2"/>
  <c r="J8" i="2"/>
  <c r="Y5" i="2"/>
  <c r="J5" i="2"/>
  <c r="J7" i="2" s="1"/>
  <c r="Y4" i="2"/>
  <c r="Y6" i="2" s="1"/>
  <c r="J2" i="2"/>
  <c r="J13" i="21" l="1"/>
  <c r="J13" i="18"/>
  <c r="J9" i="2"/>
  <c r="J18" i="2"/>
  <c r="O4" i="2"/>
  <c r="J19" i="2"/>
  <c r="J20" i="2"/>
  <c r="Y11" i="2"/>
  <c r="J21" i="2" s="1"/>
  <c r="Y9" i="2"/>
  <c r="V22" i="29"/>
  <c r="W22" i="29" s="1"/>
  <c r="D18" i="29"/>
  <c r="K13" i="29"/>
  <c r="R11" i="29"/>
  <c r="Q11" i="29"/>
  <c r="P11" i="29"/>
  <c r="O11" i="29"/>
  <c r="N11" i="29"/>
  <c r="R10" i="29"/>
  <c r="Q10" i="29"/>
  <c r="P10" i="29"/>
  <c r="O10" i="29"/>
  <c r="N10" i="29"/>
  <c r="R9" i="29"/>
  <c r="Q9" i="29"/>
  <c r="P9" i="29"/>
  <c r="O9" i="29"/>
  <c r="N9" i="29"/>
  <c r="R8" i="29"/>
  <c r="Q8" i="29"/>
  <c r="P8" i="29"/>
  <c r="O8" i="29"/>
  <c r="N8" i="29"/>
  <c r="J8" i="29"/>
  <c r="R7" i="29"/>
  <c r="Q7" i="29"/>
  <c r="P7" i="29"/>
  <c r="O7" i="29"/>
  <c r="N7" i="29"/>
  <c r="Y5" i="29"/>
  <c r="J5" i="29"/>
  <c r="J7" i="29" s="1"/>
  <c r="Y4" i="29"/>
  <c r="Y9" i="29" s="1"/>
  <c r="J2" i="29"/>
  <c r="Y4" i="1"/>
  <c r="Y11" i="1" s="1"/>
  <c r="Y5" i="1"/>
  <c r="V22" i="1"/>
  <c r="W22" i="1" s="1"/>
  <c r="R11" i="1"/>
  <c r="Q11" i="1"/>
  <c r="P11" i="1"/>
  <c r="O11" i="1"/>
  <c r="N11" i="1"/>
  <c r="R10" i="1"/>
  <c r="Q10" i="1"/>
  <c r="P10" i="1"/>
  <c r="O10" i="1"/>
  <c r="N10" i="1"/>
  <c r="R9" i="1"/>
  <c r="Q9" i="1"/>
  <c r="P9" i="1"/>
  <c r="O9" i="1"/>
  <c r="N9" i="1"/>
  <c r="R8" i="1"/>
  <c r="Q8" i="1"/>
  <c r="P8" i="1"/>
  <c r="O8" i="1"/>
  <c r="N8" i="1"/>
  <c r="R7" i="1"/>
  <c r="Q7" i="1"/>
  <c r="P7" i="1"/>
  <c r="O7" i="1"/>
  <c r="N7" i="1"/>
  <c r="O4" i="1" s="1"/>
  <c r="J20" i="1"/>
  <c r="D17" i="1"/>
  <c r="D12" i="1" s="1"/>
  <c r="K12" i="1"/>
  <c r="E12" i="1"/>
  <c r="E13" i="28"/>
  <c r="K13" i="28"/>
  <c r="D13" i="28"/>
  <c r="V22" i="28"/>
  <c r="W22" i="28" s="1"/>
  <c r="R11" i="28"/>
  <c r="Q11" i="28"/>
  <c r="P11" i="28"/>
  <c r="O11" i="28"/>
  <c r="N11" i="28"/>
  <c r="R10" i="28"/>
  <c r="Q10" i="28"/>
  <c r="P10" i="28"/>
  <c r="O10" i="28"/>
  <c r="N10" i="28"/>
  <c r="Y9" i="28"/>
  <c r="R9" i="28"/>
  <c r="Q9" i="28"/>
  <c r="P9" i="28"/>
  <c r="O9" i="28"/>
  <c r="N9" i="28"/>
  <c r="R8" i="28"/>
  <c r="Q8" i="28"/>
  <c r="P8" i="28"/>
  <c r="O8" i="28"/>
  <c r="N8" i="28"/>
  <c r="J8" i="28"/>
  <c r="R7" i="28"/>
  <c r="Q7" i="28"/>
  <c r="P7" i="28"/>
  <c r="O7" i="28"/>
  <c r="N7" i="28"/>
  <c r="Y5" i="28"/>
  <c r="J5" i="28"/>
  <c r="J7" i="28" s="1"/>
  <c r="Y4" i="28"/>
  <c r="Y11" i="28" s="1"/>
  <c r="J2" i="28"/>
  <c r="K13" i="26"/>
  <c r="J13" i="26"/>
  <c r="D13" i="26"/>
  <c r="B3" i="29" l="1"/>
  <c r="J19" i="29"/>
  <c r="J13" i="2"/>
  <c r="O4" i="29"/>
  <c r="J18" i="1"/>
  <c r="J17" i="1"/>
  <c r="J20" i="29"/>
  <c r="J18" i="29"/>
  <c r="J9" i="29"/>
  <c r="Y11" i="29"/>
  <c r="J21" i="29" s="1"/>
  <c r="Y6" i="29"/>
  <c r="Y6" i="1"/>
  <c r="Y9" i="1"/>
  <c r="J19" i="1"/>
  <c r="J12" i="1" s="1"/>
  <c r="B7" i="1" s="1"/>
  <c r="J9" i="28"/>
  <c r="Y6" i="28"/>
  <c r="O4" i="28"/>
  <c r="E13" i="26"/>
  <c r="R11" i="26"/>
  <c r="Q11" i="26"/>
  <c r="P11" i="26"/>
  <c r="O11" i="26"/>
  <c r="N11" i="26"/>
  <c r="D13" i="25"/>
  <c r="J3" i="29" l="1"/>
  <c r="B3" i="2"/>
  <c r="B7" i="2"/>
  <c r="J13" i="29"/>
  <c r="B7" i="29" s="1"/>
  <c r="J13" i="28"/>
  <c r="E13" i="25"/>
  <c r="J3" i="2" l="1"/>
  <c r="B7" i="18"/>
  <c r="B3" i="18"/>
  <c r="K13" i="24"/>
  <c r="J13" i="24"/>
  <c r="V22" i="26"/>
  <c r="W22" i="26" s="1"/>
  <c r="R10" i="26"/>
  <c r="Q10" i="26"/>
  <c r="P10" i="26"/>
  <c r="O10" i="26"/>
  <c r="N10" i="26"/>
  <c r="R9" i="26"/>
  <c r="Q9" i="26"/>
  <c r="P9" i="26"/>
  <c r="O9" i="26"/>
  <c r="N9" i="26"/>
  <c r="R8" i="26"/>
  <c r="Q8" i="26"/>
  <c r="P8" i="26"/>
  <c r="O8" i="26"/>
  <c r="N8" i="26"/>
  <c r="J8" i="26"/>
  <c r="R7" i="26"/>
  <c r="Q7" i="26"/>
  <c r="P7" i="26"/>
  <c r="O7" i="26"/>
  <c r="N7" i="26"/>
  <c r="Y5" i="26"/>
  <c r="J5" i="26"/>
  <c r="J7" i="26" s="1"/>
  <c r="Y4" i="26"/>
  <c r="Y11" i="26" s="1"/>
  <c r="J2" i="26"/>
  <c r="V22" i="25"/>
  <c r="W22" i="25" s="1"/>
  <c r="K13" i="25"/>
  <c r="R11" i="25"/>
  <c r="Q11" i="25"/>
  <c r="P11" i="25"/>
  <c r="O11" i="25"/>
  <c r="N11" i="25"/>
  <c r="R10" i="25"/>
  <c r="Q10" i="25"/>
  <c r="P10" i="25"/>
  <c r="O10" i="25"/>
  <c r="N10" i="25"/>
  <c r="R9" i="25"/>
  <c r="Q9" i="25"/>
  <c r="P9" i="25"/>
  <c r="O9" i="25"/>
  <c r="N9" i="25"/>
  <c r="R8" i="25"/>
  <c r="Q8" i="25"/>
  <c r="P8" i="25"/>
  <c r="O8" i="25"/>
  <c r="N8" i="25"/>
  <c r="J8" i="25"/>
  <c r="R7" i="25"/>
  <c r="Q7" i="25"/>
  <c r="P7" i="25"/>
  <c r="O7" i="25"/>
  <c r="N7" i="25"/>
  <c r="Y5" i="25"/>
  <c r="J5" i="25"/>
  <c r="J7" i="25" s="1"/>
  <c r="Y4" i="25"/>
  <c r="Y11" i="25" s="1"/>
  <c r="J2" i="25"/>
  <c r="J3" i="18" l="1"/>
  <c r="B3" i="19"/>
  <c r="J3" i="19" s="1"/>
  <c r="B7" i="19"/>
  <c r="J9" i="26"/>
  <c r="Y9" i="26"/>
  <c r="Y6" i="26"/>
  <c r="O4" i="26"/>
  <c r="Y9" i="25"/>
  <c r="Y6" i="25"/>
  <c r="O4" i="25"/>
  <c r="J13" i="25"/>
  <c r="J9" i="25"/>
  <c r="V22" i="24"/>
  <c r="W22" i="24" s="1"/>
  <c r="Y5" i="24"/>
  <c r="Y4" i="24"/>
  <c r="E13" i="24"/>
  <c r="D13" i="24"/>
  <c r="R11" i="24"/>
  <c r="Q11" i="24"/>
  <c r="P11" i="24"/>
  <c r="O11" i="24"/>
  <c r="N11" i="24"/>
  <c r="R10" i="24"/>
  <c r="Q10" i="24"/>
  <c r="P10" i="24"/>
  <c r="O10" i="24"/>
  <c r="N10" i="24"/>
  <c r="R9" i="24"/>
  <c r="Q9" i="24"/>
  <c r="P9" i="24"/>
  <c r="O9" i="24"/>
  <c r="N9" i="24"/>
  <c r="R8" i="24"/>
  <c r="Q8" i="24"/>
  <c r="P8" i="24"/>
  <c r="O8" i="24"/>
  <c r="N8" i="24"/>
  <c r="J8" i="24"/>
  <c r="R7" i="24"/>
  <c r="Q7" i="24"/>
  <c r="P7" i="24"/>
  <c r="O7" i="24"/>
  <c r="N7" i="24"/>
  <c r="J5" i="24"/>
  <c r="J7" i="24" s="1"/>
  <c r="J2" i="24"/>
  <c r="O4" i="24" l="1"/>
  <c r="Y11" i="24"/>
  <c r="J9" i="24"/>
  <c r="Y6" i="24"/>
  <c r="Y9" i="24"/>
  <c r="P41" i="23" l="1"/>
  <c r="Q41" i="23" s="1"/>
  <c r="T36" i="23"/>
  <c r="T37" i="23" s="1"/>
  <c r="S28" i="23" s="1"/>
  <c r="S24" i="23"/>
  <c r="S23" i="23"/>
  <c r="S25" i="23" s="1"/>
  <c r="S30" i="23" l="1"/>
  <c r="J2" i="23"/>
  <c r="E13" i="23"/>
  <c r="K13" i="23"/>
  <c r="D13" i="23"/>
  <c r="R11" i="23"/>
  <c r="Q11" i="23"/>
  <c r="P11" i="23"/>
  <c r="O11" i="23"/>
  <c r="N11" i="23"/>
  <c r="R10" i="23"/>
  <c r="Q10" i="23"/>
  <c r="P10" i="23"/>
  <c r="O10" i="23"/>
  <c r="N10" i="23"/>
  <c r="R9" i="23"/>
  <c r="Q9" i="23"/>
  <c r="P9" i="23"/>
  <c r="O9" i="23"/>
  <c r="N9" i="23"/>
  <c r="R8" i="23"/>
  <c r="Q8" i="23"/>
  <c r="P8" i="23"/>
  <c r="O8" i="23"/>
  <c r="N8" i="23"/>
  <c r="J8" i="23"/>
  <c r="R7" i="23"/>
  <c r="Q7" i="23"/>
  <c r="P7" i="23"/>
  <c r="O7" i="23"/>
  <c r="N7" i="23"/>
  <c r="J5" i="23"/>
  <c r="J7" i="23" s="1"/>
  <c r="O4" i="23" l="1"/>
  <c r="J9" i="23"/>
  <c r="J13" i="23" l="1"/>
  <c r="J23" i="20" l="1"/>
  <c r="J20" i="20"/>
  <c r="J18" i="20"/>
  <c r="J21" i="20"/>
  <c r="J8" i="20"/>
  <c r="J5" i="20"/>
  <c r="J7" i="20" s="1"/>
  <c r="J2" i="20"/>
  <c r="J9" i="20" l="1"/>
  <c r="J2" i="1" l="1"/>
  <c r="J5" i="1"/>
  <c r="J7" i="1" s="1"/>
  <c r="J8" i="1" s="1"/>
  <c r="B3" i="13" l="1"/>
  <c r="B3" i="1"/>
  <c r="J3" i="1" s="1"/>
  <c r="J9" i="1" l="1"/>
  <c r="B2" i="13" l="1"/>
  <c r="B7" i="20" l="1"/>
  <c r="B3" i="20"/>
  <c r="B7" i="21" l="1"/>
  <c r="B3" i="21"/>
  <c r="J3" i="21" s="1"/>
  <c r="J3" i="20"/>
  <c r="B3" i="23" l="1"/>
  <c r="B7" i="23"/>
  <c r="J3" i="23" l="1"/>
  <c r="B3" i="24"/>
  <c r="B7" i="24"/>
  <c r="J3" i="24" l="1"/>
  <c r="B3" i="25"/>
  <c r="B7" i="25"/>
  <c r="B3" i="26" l="1"/>
  <c r="B7" i="26"/>
  <c r="J3" i="25"/>
  <c r="B3" i="28" l="1"/>
  <c r="B7" i="28"/>
  <c r="J3" i="26"/>
  <c r="J3" i="28" l="1"/>
  <c r="B1" i="13"/>
</calcChain>
</file>

<file path=xl/sharedStrings.xml><?xml version="1.0" encoding="utf-8"?>
<sst xmlns="http://schemas.openxmlformats.org/spreadsheetml/2006/main" count="1792" uniqueCount="296">
  <si>
    <t>RENDIMENTO</t>
  </si>
  <si>
    <t>DESCRIÇÃO</t>
  </si>
  <si>
    <t>PREVISTO</t>
  </si>
  <si>
    <t>PAGO</t>
  </si>
  <si>
    <t>RECEBIDO</t>
  </si>
  <si>
    <t>Inter</t>
  </si>
  <si>
    <t xml:space="preserve"> </t>
  </si>
  <si>
    <t>Carteira</t>
  </si>
  <si>
    <t>Total:</t>
  </si>
  <si>
    <t>NuBank</t>
  </si>
  <si>
    <t>Rendimento Final:</t>
  </si>
  <si>
    <t>Total de Gastos:</t>
  </si>
  <si>
    <t>Total de Ganhos:</t>
  </si>
  <si>
    <t>Rendimento último ano:</t>
  </si>
  <si>
    <t>Saldo Atual:</t>
  </si>
  <si>
    <t>Investimento</t>
  </si>
  <si>
    <t>Total p/ Despesas</t>
  </si>
  <si>
    <t>Diferença mês</t>
  </si>
  <si>
    <t>Renda:</t>
  </si>
  <si>
    <t>Diferença:</t>
  </si>
  <si>
    <t>DESPESAS</t>
  </si>
  <si>
    <t>RECEBIMENTOS</t>
  </si>
  <si>
    <t>Valor</t>
  </si>
  <si>
    <t>Descrição</t>
  </si>
  <si>
    <t>Augusto</t>
  </si>
  <si>
    <t>Anna</t>
  </si>
  <si>
    <t>Lila</t>
  </si>
  <si>
    <t>Jader</t>
  </si>
  <si>
    <t>Amor</t>
  </si>
  <si>
    <t>99Pay</t>
  </si>
  <si>
    <t>Mercado Pago</t>
  </si>
  <si>
    <t>Theo</t>
  </si>
  <si>
    <t>Salário</t>
  </si>
  <si>
    <t>Advogado - 02/04</t>
  </si>
  <si>
    <t>Sogra - Cartão</t>
  </si>
  <si>
    <t>Distribuidora</t>
  </si>
  <si>
    <t>Micheli - Joias</t>
  </si>
  <si>
    <t>Debora - Joias</t>
  </si>
  <si>
    <t>Formatação - Notebook</t>
  </si>
  <si>
    <t>Banho Duke</t>
  </si>
  <si>
    <t>Investimento Binance</t>
  </si>
  <si>
    <t>Cashback 99pay</t>
  </si>
  <si>
    <t>Vendas Joias - Amor</t>
  </si>
  <si>
    <t>Acerto caixa</t>
  </si>
  <si>
    <t>Cartão Santander</t>
  </si>
  <si>
    <t>Steam Pedro</t>
  </si>
  <si>
    <t>Amor - Consórcio</t>
  </si>
  <si>
    <t xml:space="preserve">Compras Natal </t>
  </si>
  <si>
    <t>Recarga - Júlia</t>
  </si>
  <si>
    <t>Conserto Quarto Theo</t>
  </si>
  <si>
    <t>Lava Jato</t>
  </si>
  <si>
    <t>Corridas 99</t>
  </si>
  <si>
    <t>Santander</t>
  </si>
  <si>
    <t>Cartão</t>
  </si>
  <si>
    <t>Paula</t>
  </si>
  <si>
    <t>Cartões</t>
  </si>
  <si>
    <t>Uber</t>
  </si>
  <si>
    <t>Mãe</t>
  </si>
  <si>
    <t>Investimento FII</t>
  </si>
  <si>
    <t>SALDO</t>
  </si>
  <si>
    <t>Investimento Crypto</t>
  </si>
  <si>
    <t>Corte de Cabelo</t>
  </si>
  <si>
    <t>Diversos</t>
  </si>
  <si>
    <t>TIPO</t>
  </si>
  <si>
    <t>Familiar</t>
  </si>
  <si>
    <t>Compras</t>
  </si>
  <si>
    <t>Outros</t>
  </si>
  <si>
    <t>Bares</t>
  </si>
  <si>
    <t>Renda</t>
  </si>
  <si>
    <t>Emprestimos</t>
  </si>
  <si>
    <t>Vendas</t>
  </si>
  <si>
    <t>Freelancer</t>
  </si>
  <si>
    <t>LANÇAMENTOS DO MÊS</t>
  </si>
  <si>
    <t>Cashback</t>
  </si>
  <si>
    <t>PAGADOR</t>
  </si>
  <si>
    <t>WKVE</t>
  </si>
  <si>
    <t>Micheli</t>
  </si>
  <si>
    <t>Aluguel Notebook</t>
  </si>
  <si>
    <t>Depesas</t>
  </si>
  <si>
    <t>Divida Cartões:</t>
  </si>
  <si>
    <t>Pensão</t>
  </si>
  <si>
    <t>Plano de Saúde</t>
  </si>
  <si>
    <t>Renda Extra</t>
  </si>
  <si>
    <t>Internet</t>
  </si>
  <si>
    <t>Cartões Emprestados</t>
  </si>
  <si>
    <t>Lucas</t>
  </si>
  <si>
    <t>Pessoal</t>
  </si>
  <si>
    <t>Despesa Pessoal</t>
  </si>
  <si>
    <t>Emprestimo</t>
  </si>
  <si>
    <t>Carla</t>
  </si>
  <si>
    <t>Plano de Saúde - Mãe</t>
  </si>
  <si>
    <t>VALOR</t>
  </si>
  <si>
    <t>COMPRADOR</t>
  </si>
  <si>
    <t>BANCO</t>
  </si>
  <si>
    <t>DATA</t>
  </si>
  <si>
    <t>Investimentos</t>
  </si>
  <si>
    <t>Copasa</t>
  </si>
  <si>
    <t>Cemig</t>
  </si>
  <si>
    <t>PicPay</t>
  </si>
  <si>
    <t>Emprestimo Cartão 01/06</t>
  </si>
  <si>
    <t>Reembolso</t>
  </si>
  <si>
    <t>Outro</t>
  </si>
  <si>
    <t>Carro</t>
  </si>
  <si>
    <t>Rendimentos</t>
  </si>
  <si>
    <t>Despesas de Casa</t>
  </si>
  <si>
    <t>VENCIMENTO</t>
  </si>
  <si>
    <t>TOTAL:</t>
  </si>
  <si>
    <t>CEMIG</t>
  </si>
  <si>
    <t>PAGO:</t>
  </si>
  <si>
    <t>FALTA:</t>
  </si>
  <si>
    <t>Nº Cliente:</t>
  </si>
  <si>
    <t>Nº Instalação:</t>
  </si>
  <si>
    <t>DIVISÃO</t>
  </si>
  <si>
    <t>CPF:</t>
  </si>
  <si>
    <t>276.006.966-49</t>
  </si>
  <si>
    <t>Total</t>
  </si>
  <si>
    <t>Divisão</t>
  </si>
  <si>
    <t>Fotografa - Gestante 01/03</t>
  </si>
  <si>
    <t>Despesa de casa</t>
  </si>
  <si>
    <t xml:space="preserve">Emprestimo </t>
  </si>
  <si>
    <t>Binance</t>
  </si>
  <si>
    <t>Emprestimo Cartão 02/06</t>
  </si>
  <si>
    <t>Emprestimo Cartão 03/06</t>
  </si>
  <si>
    <t>Emprestimo Cartão 04/06</t>
  </si>
  <si>
    <t>Emprestimo Cartão 05/06</t>
  </si>
  <si>
    <t>Emprestimo Cartão</t>
  </si>
  <si>
    <t>Foto Bebê</t>
  </si>
  <si>
    <t>Dívida Terceiros</t>
  </si>
  <si>
    <t>Claudio</t>
  </si>
  <si>
    <t>Cartão PicPay</t>
  </si>
  <si>
    <t>Prestação HB20</t>
  </si>
  <si>
    <t>Fotos Grávida</t>
  </si>
  <si>
    <t>Fotos Gustavo</t>
  </si>
  <si>
    <t>Picpay</t>
  </si>
  <si>
    <t>Cofrinho MP</t>
  </si>
  <si>
    <t>2º Parcela 13º</t>
  </si>
  <si>
    <t>IPTU</t>
  </si>
  <si>
    <t>Cofrinho</t>
  </si>
  <si>
    <t>Prestão HB20s</t>
  </si>
  <si>
    <t>Pagador</t>
  </si>
  <si>
    <t>Banco</t>
  </si>
  <si>
    <t>Data</t>
  </si>
  <si>
    <t>Plano de saúde Anna</t>
  </si>
  <si>
    <t xml:space="preserve">Abastecimento </t>
  </si>
  <si>
    <t>tio Claudio</t>
  </si>
  <si>
    <t>Compras Praia</t>
  </si>
  <si>
    <t>Posto chefão</t>
  </si>
  <si>
    <t>C&amp;A</t>
  </si>
  <si>
    <t>Emprestimo Cartão 01/04</t>
  </si>
  <si>
    <t>Estacionamento Shopping</t>
  </si>
  <si>
    <t>Joias Micheli 02/04</t>
  </si>
  <si>
    <t>Emprestimo Amor</t>
  </si>
  <si>
    <t>Júlia Shopping</t>
  </si>
  <si>
    <t>Carnes - Arlison</t>
  </si>
  <si>
    <t>Cartão NuBank</t>
  </si>
  <si>
    <t>Corrida Uber</t>
  </si>
  <si>
    <t>Cartão Emprestimo</t>
  </si>
  <si>
    <t>Pedalada</t>
  </si>
  <si>
    <t>Reembolso Italo</t>
  </si>
  <si>
    <t>Reembolso WKVE</t>
  </si>
  <si>
    <t>Super Tela</t>
  </si>
  <si>
    <t>Emprestimo Inter 05/06</t>
  </si>
  <si>
    <t>Prestação HB20s</t>
  </si>
  <si>
    <t>Cerveja praia 31/12</t>
  </si>
  <si>
    <t>Supermercado 31/12</t>
  </si>
  <si>
    <t>Pastel</t>
  </si>
  <si>
    <t>Supermercado 02/01</t>
  </si>
  <si>
    <t>Cerveja praia 02/01</t>
  </si>
  <si>
    <t>Restaurante Praia Brava</t>
  </si>
  <si>
    <t>Padaria Praia Brava</t>
  </si>
  <si>
    <t>Supermercado 01/01</t>
  </si>
  <si>
    <t>Ana (Mãe da Gabi) Airbnb</t>
  </si>
  <si>
    <t>Dadi Airbnb</t>
  </si>
  <si>
    <t>Lucas Airbnb</t>
  </si>
  <si>
    <t>Parabrisa Prisma 02/04</t>
  </si>
  <si>
    <t>Supermercado Angra</t>
  </si>
  <si>
    <t>Emprestimo PicPay</t>
  </si>
  <si>
    <t>Saque aniversário</t>
  </si>
  <si>
    <t>FGTS</t>
  </si>
  <si>
    <t>Plano de saúde</t>
  </si>
  <si>
    <t>Plano de saúde Gustavo</t>
  </si>
  <si>
    <t>Adiantamento 13º</t>
  </si>
  <si>
    <t>Venda Joias 03/04</t>
  </si>
  <si>
    <t>Férias</t>
  </si>
  <si>
    <t>Compra de Ouro 01/03</t>
  </si>
  <si>
    <t>Cofrinho Mercado</t>
  </si>
  <si>
    <t>MinasCap</t>
  </si>
  <si>
    <t>Jogos</t>
  </si>
  <si>
    <t>IPVA + Licenciamento</t>
  </si>
  <si>
    <t>IPVA Moto</t>
  </si>
  <si>
    <t xml:space="preserve">Adiantamento Março </t>
  </si>
  <si>
    <t>Praia</t>
  </si>
  <si>
    <t>Automóveis</t>
  </si>
  <si>
    <t>Casa</t>
  </si>
  <si>
    <t>Lazer</t>
  </si>
  <si>
    <t xml:space="preserve">Cashback </t>
  </si>
  <si>
    <t xml:space="preserve">Recebimento </t>
  </si>
  <si>
    <t>Cartão emprestado 03/04</t>
  </si>
  <si>
    <t>Leroy Merlin Contagem 01/02</t>
  </si>
  <si>
    <t>Abastecimento Gasolina</t>
  </si>
  <si>
    <t>Compra Ouro 02/03</t>
  </si>
  <si>
    <t>Wilsonaugusto-Parabrisa 03/04</t>
  </si>
  <si>
    <t>Venda Joias 04/04</t>
  </si>
  <si>
    <t>Venda Moto</t>
  </si>
  <si>
    <t>Venda</t>
  </si>
  <si>
    <t>Emprestimo Jader</t>
  </si>
  <si>
    <t>Venda Joias Colar</t>
  </si>
  <si>
    <t>IPVA 02/03</t>
  </si>
  <si>
    <t>Despesas</t>
  </si>
  <si>
    <t>Bicos</t>
  </si>
  <si>
    <t>Wilsonaugusto-Parabrisa 04/04</t>
  </si>
  <si>
    <t>Leroy Merlin Contagem 02/02</t>
  </si>
  <si>
    <t>Compra Ouro 03/03</t>
  </si>
  <si>
    <t>Cartão emprestado 04/04</t>
  </si>
  <si>
    <t>Ana (Mãe da Gabi) Airbnb 03/06</t>
  </si>
  <si>
    <t>Dadi Airbnb 03/06</t>
  </si>
  <si>
    <t>Lucas Airbnb 03/06</t>
  </si>
  <si>
    <t>Carla 03/06</t>
  </si>
  <si>
    <t>Venda Joias</t>
  </si>
  <si>
    <t>Mariana</t>
  </si>
  <si>
    <t>IPVA 03/03</t>
  </si>
  <si>
    <t>Jim Com Recal - Jader - 01/10</t>
  </si>
  <si>
    <t>Jim.com Recal - Jader - 01/10</t>
  </si>
  <si>
    <t>Anna - Planos</t>
  </si>
  <si>
    <t>Roça - Pascoa</t>
  </si>
  <si>
    <t>Materiais Theo 02/02</t>
  </si>
  <si>
    <t>Mochila - 03/03</t>
  </si>
  <si>
    <t xml:space="preserve">Festa Theo </t>
  </si>
  <si>
    <t>Doce de leite</t>
  </si>
  <si>
    <t>Moises</t>
  </si>
  <si>
    <t>Débora</t>
  </si>
  <si>
    <t>Crédito Cartão</t>
  </si>
  <si>
    <t>IPTU restante</t>
  </si>
  <si>
    <t>Celular novo</t>
  </si>
  <si>
    <t>Rparo Joias Debora</t>
  </si>
  <si>
    <t>Chashback MP</t>
  </si>
  <si>
    <t xml:space="preserve">Investimento </t>
  </si>
  <si>
    <t>Jim Com Recal - Jader - 02/10</t>
  </si>
  <si>
    <t>Jim.com Recal - Jader - 02/10</t>
  </si>
  <si>
    <t>Máquina de lavar - Lila - 01/10</t>
  </si>
  <si>
    <t>Ana (Mãe da Gabi) Airbnb 04/06</t>
  </si>
  <si>
    <t>Dadi Airbnb 04/06</t>
  </si>
  <si>
    <t>Lucas Airbnb 04/06</t>
  </si>
  <si>
    <t>Carla 04/06</t>
  </si>
  <si>
    <t>Emprestimo - Anna</t>
  </si>
  <si>
    <t>Reparo berloque</t>
  </si>
  <si>
    <t>Debora</t>
  </si>
  <si>
    <t xml:space="preserve">Joias </t>
  </si>
  <si>
    <t>Reparo Anel Micheli</t>
  </si>
  <si>
    <t>Anna e Paula</t>
  </si>
  <si>
    <t>Venda iPhone 11 - 01/05</t>
  </si>
  <si>
    <t>Emprestimo - Joias</t>
  </si>
  <si>
    <t>Plano de Saúde - Gustavo</t>
  </si>
  <si>
    <t>Pagamento ART - WKVE</t>
  </si>
  <si>
    <t>Iphone 13 Pro Max</t>
  </si>
  <si>
    <t>Reboque - Prisma</t>
  </si>
  <si>
    <t>Uber Lila</t>
  </si>
  <si>
    <t>Multa Lei-seca</t>
  </si>
  <si>
    <t>Prejuízo</t>
  </si>
  <si>
    <t>Pátio</t>
  </si>
  <si>
    <t>Pagamento  - Emprestimo</t>
  </si>
  <si>
    <t>Restituição IR</t>
  </si>
  <si>
    <t>RF</t>
  </si>
  <si>
    <t>Fotógrafo Batizado</t>
  </si>
  <si>
    <t>Emprestimo Anna - 29/05</t>
  </si>
  <si>
    <t>Emprestimo Anna - 27/05</t>
  </si>
  <si>
    <t>Ana (Mãe da Gabi) Airbnb 05/06</t>
  </si>
  <si>
    <t>Dadi Airbnb 05/06</t>
  </si>
  <si>
    <t>Lucas Airbnb 05/06</t>
  </si>
  <si>
    <t>Carla 05/06</t>
  </si>
  <si>
    <t>Jim Com Recal - Jader - 03/10</t>
  </si>
  <si>
    <t>Jim.com Recal - Jader - 03/10</t>
  </si>
  <si>
    <t>Máquina de lavar - Lila - 02/10</t>
  </si>
  <si>
    <t xml:space="preserve">Emprestimo Anna - </t>
  </si>
  <si>
    <t>DY MOTOS</t>
  </si>
  <si>
    <t>Venda iPhone 11 - 02/05</t>
  </si>
  <si>
    <t>Dia das Mães</t>
  </si>
  <si>
    <t>Auto Bits - Moises - 01/04</t>
  </si>
  <si>
    <t>Dia das mães</t>
  </si>
  <si>
    <t>Pedro/Carla</t>
  </si>
  <si>
    <t>Pedro</t>
  </si>
  <si>
    <t>Porta Sala</t>
  </si>
  <si>
    <t>Reforma</t>
  </si>
  <si>
    <t>Jim Com Recal - Jader - 04/10</t>
  </si>
  <si>
    <t>Jim.com Recal - Jader - 04/10</t>
  </si>
  <si>
    <t>Máquina de lavar - Lila - 03/10</t>
  </si>
  <si>
    <t>Ana (Mãe da Gabi) Airbnb 06/06</t>
  </si>
  <si>
    <t>Dadi Airbnb 06/06</t>
  </si>
  <si>
    <t>Lucas Airbnb 06/06</t>
  </si>
  <si>
    <t>Carla 06/06</t>
  </si>
  <si>
    <t>Auto Bits - Moises - 02/04</t>
  </si>
  <si>
    <t>DY MOTOS - 02/05</t>
  </si>
  <si>
    <t>Venda Iphone - 03/05</t>
  </si>
  <si>
    <t>Anna/Paula</t>
  </si>
  <si>
    <t>Status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</si>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</sst>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&quot;R$&quot;* #,##0.00_-;\-&quot;R$&quot;* #,##0.00_-;_-&quot;R$&quot;* &quot;-&quot;??_-;_-@"/>
  </numFmts>
  <fonts count="29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4"/>
      <color theme="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2E75B5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2" tint="-0.749992370372631"/>
      <name val="Calibri"/>
      <family val="2"/>
    </font>
    <font>
      <b/>
      <sz val="12"/>
      <color theme="2" tint="-0.749992370372631"/>
      <name val="Calibri"/>
      <family val="2"/>
    </font>
    <font>
      <b/>
      <sz val="16"/>
      <color theme="2" tint="-0.749992370372631"/>
      <name val="Calibri"/>
      <family val="2"/>
    </font>
    <font>
      <b/>
      <sz val="20"/>
      <color theme="2" tint="-0.749992370372631"/>
      <name val="Calibri"/>
      <family val="2"/>
    </font>
    <font>
      <b/>
      <sz val="28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8" tint="0.79998168889431442"/>
      <name val="Calibri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b/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3"/>
        <bgColor rgb="FF2E75B5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2E75B5"/>
      </bottom>
      <diagonal/>
    </border>
    <border>
      <left style="thin">
        <color theme="1"/>
      </left>
      <right style="thin">
        <color theme="1"/>
      </right>
      <top style="thin">
        <color rgb="FF2E75B5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rgb="FF2E75B5"/>
      </top>
      <bottom style="thin">
        <color rgb="FF2E75B5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dotted">
        <color theme="0"/>
      </bottom>
      <diagonal/>
    </border>
    <border>
      <left/>
      <right style="thin">
        <color theme="1"/>
      </right>
      <top/>
      <bottom style="dotted">
        <color theme="0"/>
      </bottom>
      <diagonal/>
    </border>
    <border>
      <left style="thin">
        <color theme="1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thin">
        <color theme="1"/>
      </right>
      <top style="dotted">
        <color theme="0"/>
      </top>
      <bottom style="dotted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hair">
        <color theme="4" tint="-0.249977111117893"/>
      </left>
      <right style="hair">
        <color theme="4" tint="-0.249977111117893"/>
      </right>
      <top style="hair">
        <color theme="4" tint="-0.249977111117893"/>
      </top>
      <bottom style="hair">
        <color theme="4" tint="-0.249977111117893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thin">
        <color theme="1"/>
      </left>
      <right style="dotted">
        <color theme="0"/>
      </right>
      <top style="dotted">
        <color theme="0"/>
      </top>
      <bottom style="thin">
        <color indexed="64"/>
      </bottom>
      <diagonal/>
    </border>
    <border>
      <left style="dotted">
        <color theme="0"/>
      </left>
      <right style="thin">
        <color theme="1"/>
      </right>
      <top style="dotted">
        <color theme="0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/>
      <bottom style="hair">
        <color rgb="FFFFFFFF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164" fontId="0" fillId="0" borderId="0" xfId="1" applyFont="1"/>
    <xf numFmtId="0" fontId="3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164" fontId="4" fillId="0" borderId="2" xfId="1" applyFont="1" applyBorder="1" applyAlignment="1">
      <alignment vertical="center"/>
    </xf>
    <xf numFmtId="164" fontId="4" fillId="3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164" fontId="0" fillId="0" borderId="0" xfId="1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64" fontId="9" fillId="0" borderId="0" xfId="1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2" fillId="0" borderId="0" xfId="0" applyFont="1"/>
    <xf numFmtId="0" fontId="12" fillId="0" borderId="3" xfId="0" applyFont="1" applyBorder="1" applyAlignment="1">
      <alignment vertical="center"/>
    </xf>
    <xf numFmtId="0" fontId="12" fillId="0" borderId="1" xfId="0" applyFont="1" applyBorder="1"/>
    <xf numFmtId="164" fontId="12" fillId="0" borderId="1" xfId="1" applyFont="1" applyBorder="1"/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right" vertical="center"/>
    </xf>
    <xf numFmtId="164" fontId="14" fillId="0" borderId="1" xfId="1" applyFont="1" applyBorder="1" applyAlignment="1">
      <alignment vertical="center"/>
    </xf>
    <xf numFmtId="164" fontId="12" fillId="0" borderId="0" xfId="1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17" fillId="8" borderId="0" xfId="1" applyFont="1" applyFill="1" applyAlignment="1">
      <alignment horizontal="center"/>
    </xf>
    <xf numFmtId="164" fontId="17" fillId="18" borderId="1" xfId="1" applyFont="1" applyFill="1" applyBorder="1" applyAlignment="1">
      <alignment horizontal="center"/>
    </xf>
    <xf numFmtId="164" fontId="17" fillId="19" borderId="1" xfId="1" applyFont="1" applyFill="1" applyBorder="1" applyAlignment="1">
      <alignment horizontal="center"/>
    </xf>
    <xf numFmtId="164" fontId="17" fillId="10" borderId="1" xfId="1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44" fontId="9" fillId="0" borderId="1" xfId="0" applyNumberFormat="1" applyFont="1" applyBorder="1" applyAlignment="1">
      <alignment vertical="center"/>
    </xf>
    <xf numFmtId="0" fontId="8" fillId="0" borderId="6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164" fontId="9" fillId="0" borderId="6" xfId="1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164" fontId="1" fillId="17" borderId="15" xfId="1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164" fontId="1" fillId="17" borderId="18" xfId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11" fillId="8" borderId="24" xfId="0" applyFont="1" applyFill="1" applyBorder="1" applyAlignment="1">
      <alignment horizontal="right" vertical="center"/>
    </xf>
    <xf numFmtId="164" fontId="11" fillId="8" borderId="25" xfId="1" applyFont="1" applyFill="1" applyBorder="1" applyAlignment="1">
      <alignment vertical="center"/>
    </xf>
    <xf numFmtId="0" fontId="11" fillId="9" borderId="24" xfId="0" applyFont="1" applyFill="1" applyBorder="1" applyAlignment="1">
      <alignment horizontal="right" vertical="center"/>
    </xf>
    <xf numFmtId="164" fontId="11" fillId="9" borderId="25" xfId="1" applyFont="1" applyFill="1" applyBorder="1" applyAlignment="1">
      <alignment vertical="center"/>
    </xf>
    <xf numFmtId="0" fontId="11" fillId="10" borderId="24" xfId="0" applyFont="1" applyFill="1" applyBorder="1" applyAlignment="1">
      <alignment horizontal="right" vertical="center"/>
    </xf>
    <xf numFmtId="164" fontId="11" fillId="10" borderId="25" xfId="1" applyFont="1" applyFill="1" applyBorder="1" applyAlignment="1">
      <alignment vertical="center"/>
    </xf>
    <xf numFmtId="0" fontId="11" fillId="11" borderId="24" xfId="0" applyFont="1" applyFill="1" applyBorder="1" applyAlignment="1">
      <alignment horizontal="right" vertical="center"/>
    </xf>
    <xf numFmtId="164" fontId="11" fillId="11" borderId="25" xfId="1" applyFont="1" applyFill="1" applyBorder="1" applyAlignment="1">
      <alignment vertical="center"/>
    </xf>
    <xf numFmtId="0" fontId="11" fillId="12" borderId="24" xfId="0" applyFont="1" applyFill="1" applyBorder="1" applyAlignment="1">
      <alignment horizontal="right" vertical="center"/>
    </xf>
    <xf numFmtId="164" fontId="11" fillId="12" borderId="25" xfId="1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9" fillId="0" borderId="27" xfId="0" applyFont="1" applyBorder="1" applyAlignment="1">
      <alignment vertical="center"/>
    </xf>
    <xf numFmtId="164" fontId="13" fillId="0" borderId="1" xfId="1" applyFont="1" applyBorder="1" applyAlignment="1">
      <alignment horizontal="right"/>
    </xf>
    <xf numFmtId="164" fontId="13" fillId="0" borderId="1" xfId="1" applyFont="1" applyBorder="1" applyAlignment="1">
      <alignment horizontal="right" vertical="top"/>
    </xf>
    <xf numFmtId="164" fontId="0" fillId="0" borderId="28" xfId="1" applyFont="1" applyBorder="1"/>
    <xf numFmtId="164" fontId="12" fillId="0" borderId="28" xfId="1" applyFont="1" applyBorder="1"/>
    <xf numFmtId="164" fontId="0" fillId="0" borderId="28" xfId="1" applyFont="1" applyBorder="1" applyAlignment="1">
      <alignment vertical="top"/>
    </xf>
    <xf numFmtId="164" fontId="12" fillId="0" borderId="28" xfId="1" applyFont="1" applyBorder="1" applyAlignment="1">
      <alignment vertical="top"/>
    </xf>
    <xf numFmtId="16" fontId="2" fillId="0" borderId="0" xfId="0" applyNumberFormat="1" applyFont="1" applyAlignment="1">
      <alignment horizontal="center"/>
    </xf>
    <xf numFmtId="0" fontId="0" fillId="0" borderId="29" xfId="0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16" borderId="29" xfId="0" applyFont="1" applyFill="1" applyBorder="1" applyAlignment="1">
      <alignment horizontal="center" vertical="center"/>
    </xf>
    <xf numFmtId="164" fontId="9" fillId="16" borderId="29" xfId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4" fontId="9" fillId="0" borderId="29" xfId="1" applyFont="1" applyBorder="1" applyAlignment="1">
      <alignment horizontal="center" vertical="center"/>
    </xf>
    <xf numFmtId="164" fontId="2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Font="1"/>
    <xf numFmtId="44" fontId="9" fillId="0" borderId="1" xfId="0" applyNumberFormat="1" applyFont="1" applyBorder="1" applyAlignment="1">
      <alignment horizontal="center" vertical="center"/>
    </xf>
    <xf numFmtId="164" fontId="0" fillId="21" borderId="29" xfId="1" applyFont="1" applyFill="1" applyBorder="1" applyAlignment="1">
      <alignment vertical="center"/>
    </xf>
    <xf numFmtId="164" fontId="17" fillId="9" borderId="1" xfId="1" applyFont="1" applyFill="1" applyBorder="1" applyAlignment="1">
      <alignment horizontal="center"/>
    </xf>
    <xf numFmtId="0" fontId="20" fillId="0" borderId="0" xfId="0" applyFont="1"/>
    <xf numFmtId="164" fontId="20" fillId="0" borderId="0" xfId="1" applyFont="1"/>
    <xf numFmtId="14" fontId="20" fillId="0" borderId="0" xfId="0" applyNumberFormat="1" applyFont="1" applyAlignment="1">
      <alignment horizontal="center"/>
    </xf>
    <xf numFmtId="0" fontId="21" fillId="13" borderId="30" xfId="0" applyFont="1" applyFill="1" applyBorder="1" applyAlignment="1">
      <alignment horizontal="center"/>
    </xf>
    <xf numFmtId="14" fontId="21" fillId="13" borderId="30" xfId="0" applyNumberFormat="1" applyFont="1" applyFill="1" applyBorder="1" applyAlignment="1">
      <alignment horizontal="center"/>
    </xf>
    <xf numFmtId="164" fontId="21" fillId="13" borderId="30" xfId="1" applyFont="1" applyFill="1" applyBorder="1" applyAlignment="1">
      <alignment horizontal="center"/>
    </xf>
    <xf numFmtId="0" fontId="21" fillId="3" borderId="31" xfId="0" applyFont="1" applyFill="1" applyBorder="1" applyAlignment="1">
      <alignment horizontal="right"/>
    </xf>
    <xf numFmtId="164" fontId="22" fillId="22" borderId="31" xfId="1" applyFont="1" applyFill="1" applyBorder="1"/>
    <xf numFmtId="0" fontId="23" fillId="23" borderId="30" xfId="0" applyFont="1" applyFill="1" applyBorder="1" applyAlignment="1">
      <alignment horizontal="left"/>
    </xf>
    <xf numFmtId="14" fontId="23" fillId="23" borderId="30" xfId="0" applyNumberFormat="1" applyFont="1" applyFill="1" applyBorder="1" applyAlignment="1">
      <alignment horizontal="center"/>
    </xf>
    <xf numFmtId="164" fontId="22" fillId="22" borderId="30" xfId="1" applyFont="1" applyFill="1" applyBorder="1"/>
    <xf numFmtId="164" fontId="24" fillId="23" borderId="30" xfId="1" applyFont="1" applyFill="1" applyBorder="1"/>
    <xf numFmtId="0" fontId="21" fillId="4" borderId="32" xfId="0" applyFont="1" applyFill="1" applyBorder="1" applyAlignment="1">
      <alignment horizontal="right"/>
    </xf>
    <xf numFmtId="164" fontId="25" fillId="24" borderId="32" xfId="1" applyFont="1" applyFill="1" applyBorder="1"/>
    <xf numFmtId="0" fontId="23" fillId="25" borderId="30" xfId="0" applyFont="1" applyFill="1" applyBorder="1" applyAlignment="1">
      <alignment horizontal="left"/>
    </xf>
    <xf numFmtId="14" fontId="23" fillId="25" borderId="30" xfId="0" applyNumberFormat="1" applyFont="1" applyFill="1" applyBorder="1" applyAlignment="1">
      <alignment horizontal="center"/>
    </xf>
    <xf numFmtId="164" fontId="22" fillId="25" borderId="30" xfId="1" applyFont="1" applyFill="1" applyBorder="1"/>
    <xf numFmtId="164" fontId="24" fillId="25" borderId="30" xfId="1" applyFont="1" applyFill="1" applyBorder="1"/>
    <xf numFmtId="0" fontId="21" fillId="13" borderId="33" xfId="0" applyFont="1" applyFill="1" applyBorder="1" applyAlignment="1">
      <alignment horizontal="right"/>
    </xf>
    <xf numFmtId="164" fontId="26" fillId="23" borderId="33" xfId="1" applyFont="1" applyFill="1" applyBorder="1"/>
    <xf numFmtId="164" fontId="27" fillId="26" borderId="34" xfId="1" applyFont="1" applyFill="1" applyBorder="1"/>
    <xf numFmtId="164" fontId="27" fillId="25" borderId="34" xfId="1" applyFont="1" applyFill="1" applyBorder="1"/>
    <xf numFmtId="0" fontId="27" fillId="26" borderId="34" xfId="0" applyFont="1" applyFill="1" applyBorder="1" applyAlignment="1">
      <alignment horizontal="right"/>
    </xf>
    <xf numFmtId="0" fontId="27" fillId="25" borderId="34" xfId="0" applyFont="1" applyFill="1" applyBorder="1" applyAlignment="1">
      <alignment horizontal="right"/>
    </xf>
    <xf numFmtId="164" fontId="14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9" fillId="13" borderId="35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8" fillId="24" borderId="38" xfId="0" applyFont="1" applyFill="1" applyBorder="1" applyAlignment="1">
      <alignment horizontal="right" vertical="center"/>
    </xf>
    <xf numFmtId="164" fontId="28" fillId="24" borderId="39" xfId="1" applyFont="1" applyFill="1" applyBorder="1" applyAlignment="1">
      <alignment vertical="center"/>
    </xf>
    <xf numFmtId="164" fontId="5" fillId="0" borderId="0" xfId="1" applyFont="1" applyAlignment="1">
      <alignment vertical="center"/>
    </xf>
    <xf numFmtId="16" fontId="5" fillId="0" borderId="0" xfId="0" applyNumberFormat="1" applyFont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11" fillId="16" borderId="29" xfId="0" applyFont="1" applyFill="1" applyBorder="1" applyAlignment="1">
      <alignment horizontal="center" vertical="center"/>
    </xf>
    <xf numFmtId="0" fontId="11" fillId="19" borderId="29" xfId="0" applyFont="1" applyFill="1" applyBorder="1" applyAlignment="1">
      <alignment horizontal="center" vertical="center"/>
    </xf>
    <xf numFmtId="0" fontId="21" fillId="8" borderId="36" xfId="0" applyFont="1" applyFill="1" applyBorder="1" applyAlignment="1">
      <alignment horizontal="center"/>
    </xf>
    <xf numFmtId="0" fontId="21" fillId="8" borderId="37" xfId="0" applyFont="1" applyFill="1" applyBorder="1" applyAlignment="1">
      <alignment horizont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44" fontId="9" fillId="0" borderId="13" xfId="0" applyNumberFormat="1" applyFont="1" applyBorder="1" applyAlignment="1">
      <alignment horizontal="center" vertical="center"/>
    </xf>
    <xf numFmtId="44" fontId="9" fillId="0" borderId="14" xfId="0" applyNumberFormat="1" applyFont="1" applyBorder="1" applyAlignment="1">
      <alignment horizontal="center" vertical="center"/>
    </xf>
    <xf numFmtId="0" fontId="18" fillId="20" borderId="29" xfId="0" applyFont="1" applyFill="1" applyBorder="1" applyAlignment="1">
      <alignment horizontal="center" vertical="center"/>
    </xf>
    <xf numFmtId="0" fontId="11" fillId="16" borderId="29" xfId="0" applyFont="1" applyFill="1" applyBorder="1" applyAlignment="1">
      <alignment horizontal="right" vertical="center"/>
    </xf>
    <xf numFmtId="0" fontId="11" fillId="9" borderId="29" xfId="0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 vertical="center"/>
    </xf>
    <xf numFmtId="0" fontId="19" fillId="13" borderId="35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right" vertical="center"/>
    </xf>
    <xf numFmtId="0" fontId="10" fillId="7" borderId="6" xfId="0" applyFont="1" applyFill="1" applyBorder="1" applyAlignment="1">
      <alignment horizontal="right" vertical="center"/>
    </xf>
    <xf numFmtId="164" fontId="11" fillId="7" borderId="6" xfId="1" applyFont="1" applyFill="1" applyBorder="1" applyAlignment="1">
      <alignment horizontal="center" vertical="center"/>
    </xf>
    <xf numFmtId="164" fontId="11" fillId="7" borderId="11" xfId="1" applyFont="1" applyFill="1" applyBorder="1" applyAlignment="1">
      <alignment horizontal="center" vertical="center"/>
    </xf>
    <xf numFmtId="164" fontId="6" fillId="6" borderId="16" xfId="1" applyFont="1" applyFill="1" applyBorder="1" applyAlignment="1">
      <alignment horizontal="center" vertical="center"/>
    </xf>
    <xf numFmtId="164" fontId="6" fillId="6" borderId="17" xfId="1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right" vertical="center"/>
    </xf>
    <xf numFmtId="0" fontId="10" fillId="9" borderId="6" xfId="0" applyFont="1" applyFill="1" applyBorder="1" applyAlignment="1">
      <alignment horizontal="right" vertical="center"/>
    </xf>
    <xf numFmtId="164" fontId="11" fillId="9" borderId="6" xfId="1" applyFont="1" applyFill="1" applyBorder="1" applyAlignment="1">
      <alignment horizontal="center" vertical="center"/>
    </xf>
    <xf numFmtId="164" fontId="11" fillId="9" borderId="11" xfId="1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right" vertical="center"/>
    </xf>
    <xf numFmtId="0" fontId="10" fillId="13" borderId="6" xfId="0" applyFont="1" applyFill="1" applyBorder="1" applyAlignment="1">
      <alignment horizontal="right" vertical="center"/>
    </xf>
    <xf numFmtId="164" fontId="11" fillId="13" borderId="6" xfId="1" applyFont="1" applyFill="1" applyBorder="1" applyAlignment="1">
      <alignment horizontal="center" vertical="center"/>
    </xf>
    <xf numFmtId="164" fontId="11" fillId="13" borderId="11" xfId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64" fontId="9" fillId="0" borderId="6" xfId="1" applyFont="1" applyBorder="1" applyAlignment="1">
      <alignment horizontal="center" vertical="center"/>
    </xf>
    <xf numFmtId="164" fontId="9" fillId="0" borderId="11" xfId="1" applyFont="1" applyBorder="1" applyAlignment="1">
      <alignment horizontal="center" vertical="center"/>
    </xf>
    <xf numFmtId="0" fontId="16" fillId="15" borderId="20" xfId="0" applyFont="1" applyFill="1" applyBorder="1" applyAlignment="1">
      <alignment horizontal="center" vertical="center"/>
    </xf>
    <xf numFmtId="0" fontId="16" fillId="15" borderId="21" xfId="0" applyFont="1" applyFill="1" applyBorder="1" applyAlignment="1">
      <alignment horizontal="center" vertical="center"/>
    </xf>
    <xf numFmtId="0" fontId="16" fillId="15" borderId="22" xfId="0" applyFont="1" applyFill="1" applyBorder="1" applyAlignment="1">
      <alignment horizontal="center" vertical="center"/>
    </xf>
    <xf numFmtId="0" fontId="16" fillId="15" borderId="23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right" vertical="center"/>
    </xf>
    <xf numFmtId="0" fontId="10" fillId="7" borderId="8" xfId="0" applyFont="1" applyFill="1" applyBorder="1" applyAlignment="1">
      <alignment horizontal="right" vertical="center"/>
    </xf>
    <xf numFmtId="164" fontId="11" fillId="7" borderId="8" xfId="1" applyFont="1" applyFill="1" applyBorder="1" applyAlignment="1">
      <alignment horizontal="center" vertical="center"/>
    </xf>
    <xf numFmtId="164" fontId="11" fillId="7" borderId="9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164" fontId="14" fillId="0" borderId="3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numFmt numFmtId="165" formatCode="_-&quot;R$&quot;* #,##0.00_-;\-&quot;R$&quot;* #,##0.00_-;_-&quot;R$&quot;* &quot;-&quot;??_-;_-@"/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border>
        <bottom style="hair">
          <color theme="0"/>
        </bottom>
      </border>
    </dxf>
    <dxf>
      <font>
        <b/>
        <family val="2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hair">
          <color theme="0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numFmt numFmtId="21" formatCode="dd/mmm"/>
      <alignment horizontal="center" vertical="bottom" textRotation="0" wrapText="0" indent="0" justifyLastLine="0" shrinkToFit="0" readingOrder="0"/>
    </dxf>
    <dxf>
      <border outline="0">
        <bottom style="hair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0"/>
        </left>
        <right style="hair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alignment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horizontal="center" textRotation="0" wrapText="0" indent="0" justifyLastLine="0" shrinkToFit="0" readingOrder="0"/>
    </dxf>
    <dxf>
      <border>
        <bottom style="hair">
          <color rgb="FFFFFFFF"/>
        </bottom>
      </border>
    </dxf>
    <dxf>
      <font>
        <b/>
        <family val="2"/>
      </font>
      <fill>
        <patternFill patternType="solid">
          <fgColor indexed="64"/>
          <bgColor rgb="FF700000"/>
        </patternFill>
      </fill>
      <alignment vertical="center" textRotation="0" wrapText="0" indent="0" justifyLastLine="0" shrinkToFit="0" readingOrder="0"/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fill>
        <patternFill>
          <bgColor theme="0" tint="-0.14996795556505021"/>
        </patternFill>
      </fill>
      <border>
        <top style="hair">
          <color auto="1"/>
        </top>
        <bottom style="hair">
          <color auto="1"/>
        </bottom>
      </border>
    </dxf>
  </dxfs>
  <tableStyles count="1" defaultTableStyle="TableStyleMedium2" defaultPivotStyle="PivotStyleLight16">
    <tableStyle name="Estilo de Tabela 1" pivot="0" count="1" xr9:uid="{595E605F-B833-494C-A068-5FA30443A08C}">
      <tableStyleElement type="wholeTable" dxfId="261"/>
    </tableStyle>
  </tableStyles>
  <colors>
    <mruColors>
      <color rgb="FF7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E228396-D15C-4F59-9B51-34D078F7A82B}" name="Tabela323131619222528313736" displayName="Tabela323131619222528313736" ref="B15:E33" totalsRowShown="0" headerRowDxfId="260" headerRowBorderDxfId="259">
  <tableColumns count="4">
    <tableColumn id="1" xr3:uid="{D686CAC0-1891-40BE-B0FE-0FFE50E7752B}" name="DESCRIÇÃO"/>
    <tableColumn id="4" xr3:uid="{32A991AE-97F6-4BB2-8AF8-35D62F99AB45}" name="TIPO" dataDxfId="258"/>
    <tableColumn id="2" xr3:uid="{AAC7E5C5-8382-41B1-9785-7E9FBA697C51}" name="PREVISTO" dataDxfId="257" dataCellStyle="Moeda"/>
    <tableColumn id="3" xr3:uid="{94129CD9-9B40-47E6-8B10-E9629035CD2D}" name="PAGO" dataDxfId="256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0107843-01C7-4124-A18D-448B170FC025}" name="Tabela5911141720232629323840" displayName="Tabela5911141720232629323840" ref="G15:K31" totalsRowShown="0" headerRowDxfId="255" headerRowBorderDxfId="254">
  <tableColumns count="5">
    <tableColumn id="1" xr3:uid="{668D2BDB-8C71-4B6E-A727-4EA7840C74C8}" name="DESCRIÇÃO"/>
    <tableColumn id="5" xr3:uid="{6CCC36A5-0E50-406E-8ADB-BC94C157DE4F}" name="PAGADOR"/>
    <tableColumn id="4" xr3:uid="{9C3098B2-D52F-488F-A799-5B6E4B4087F8}" name="TIPO" dataDxfId="253"/>
    <tableColumn id="2" xr3:uid="{0A9CB85F-C0DA-4A59-B20D-BF2A395BF785}" name="PREVISTO" dataDxfId="252" dataCellStyle="Moeda"/>
    <tableColumn id="3" xr3:uid="{71BD77FE-E5D8-488C-9EC3-9A3AED77E91E}" name="RECEBIDO" dataDxfId="251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8A9C442-7D3F-4EF3-BDA8-A179AE75492B}" name="Tabela41012151821242730333941" displayName="Tabela41012151821242730333941" ref="N13:R24" totalsRowShown="0" headerRowDxfId="250" headerRowBorderDxfId="249">
  <autoFilter ref="N13:R24" xr:uid="{339C2FE7-7DE6-4C2E-8E46-E3EB1FF9DE61}"/>
  <tableColumns count="5">
    <tableColumn id="1" xr3:uid="{EFD982E6-1C74-4D53-BB2F-C38C51181B3E}" name="Descrição"/>
    <tableColumn id="2" xr3:uid="{94BB800C-3B28-423A-9CC8-B74B34CD88A0}" name="Valor" dataCellStyle="Moeda"/>
    <tableColumn id="3" xr3:uid="{C1FBD678-FA43-4321-AACC-B7B7C31FC7E9}" name="Data" dataDxfId="248"/>
    <tableColumn id="4" xr3:uid="{58926F4D-A3C3-4D2B-B3B9-689AECEBAB3C}" name="Pagador"/>
    <tableColumn id="5" xr3:uid="{D97AC780-2858-4281-BE16-B5B4B9477785}" name="Banc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59F16D-3913-4EF6-8657-76EAEAE64C5F}" name="Tabela32313161922252831373634" displayName="Tabela32313161922252831373634" ref="B15:E32" totalsRowShown="0" headerRowDxfId="247" headerRowBorderDxfId="246">
  <tableColumns count="4">
    <tableColumn id="1" xr3:uid="{AC77D20C-3AE3-4C85-844A-8B8296184153}" name="DESCRIÇÃO"/>
    <tableColumn id="4" xr3:uid="{4822007E-1477-4F24-BDAD-C1735003685B}" name="TIPO" dataDxfId="245"/>
    <tableColumn id="2" xr3:uid="{F92A25AB-9E38-4E2D-999A-26D296016DD3}" name="PREVISTO" dataDxfId="244" dataCellStyle="Moeda"/>
    <tableColumn id="3" xr3:uid="{83E707AA-0736-46ED-8E02-DA42A0B0A132}" name="PAGO" dataDxfId="243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6250F95-6CF7-47C0-BAEA-9BDA295CF5F9}" name="Tabela591114172023262932384042" displayName="Tabela591114172023262932384042" ref="G15:K31" totalsRowShown="0" headerRowDxfId="242" headerRowBorderDxfId="241">
  <tableColumns count="5">
    <tableColumn id="1" xr3:uid="{1F331BF6-75E7-41DC-8C4D-C76A71209DF2}" name="DESCRIÇÃO"/>
    <tableColumn id="5" xr3:uid="{3EFCA8ED-A1FD-4F6F-BD12-B8F31857B5BE}" name="PAGADOR"/>
    <tableColumn id="4" xr3:uid="{1F6D726E-247B-4C12-977D-E81D4171438A}" name="TIPO" dataDxfId="240"/>
    <tableColumn id="2" xr3:uid="{45698294-5496-4CC0-8E1E-92EE37A30262}" name="PREVISTO" dataDxfId="239" dataCellStyle="Moeda"/>
    <tableColumn id="3" xr3:uid="{C7DDDC01-CE81-473C-89EF-E23715668A30}" name="RECEBIDO" dataDxfId="238" dataCellStyle="Moe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BDAEBFD-3578-4772-A55D-7EE29E017654}" name="Tabela4101215182124273033394143" displayName="Tabela4101215182124273033394143" ref="M13:Q35" totalsRowShown="0" headerRowDxfId="237" headerRowBorderDxfId="236">
  <autoFilter ref="M13:Q35" xr:uid="{8BDAEBFD-3578-4772-A55D-7EE29E017654}"/>
  <sortState xmlns:xlrd2="http://schemas.microsoft.com/office/spreadsheetml/2017/richdata2" ref="M14:Q33">
    <sortCondition ref="P13:P33"/>
  </sortState>
  <tableColumns count="5">
    <tableColumn id="1" xr3:uid="{395AD7CB-B768-48F1-91F4-9FD3949D87FD}" name="Descrição"/>
    <tableColumn id="2" xr3:uid="{8FC3A4E8-17F1-4E4A-A676-DE3600F26BBD}" name="Valor" dataCellStyle="Moeda"/>
    <tableColumn id="3" xr3:uid="{00FB010B-ACAD-4F7E-B885-BAC7A626390E}" name="Data" dataDxfId="235"/>
    <tableColumn id="4" xr3:uid="{8837C3D3-D471-425F-9648-AACA436170E0}" name="Pagador"/>
    <tableColumn id="5" xr3:uid="{F6C59D03-66E6-425F-9ABA-7F9604B2928B}" name="Ban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18B814-D157-438A-A1C3-3EFC0C49AE1C}" name="Tabela323131619222528313736344" displayName="Tabela323131619222528313736344" ref="B15:E32" totalsRowShown="0" headerRowDxfId="234" headerRowBorderDxfId="233">
  <tableColumns count="4">
    <tableColumn id="1" xr3:uid="{83CFFF28-0CD0-4074-A387-C2347EFE0DEF}" name="DESCRIÇÃO"/>
    <tableColumn id="4" xr3:uid="{D506EB71-6C27-450D-AA2C-23370FE16197}" name="TIPO" dataDxfId="232"/>
    <tableColumn id="2" xr3:uid="{4EB9A144-CDA9-476B-B8ED-9FA4E0240F50}" name="PREVISTO" dataDxfId="231" dataCellStyle="Moeda"/>
    <tableColumn id="3" xr3:uid="{7DFF754B-060D-4842-867F-B591397FA795}" name="PAGO" dataDxfId="230" dataCellStyle="Mo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204C71-88E3-4FB1-97F1-7B7A41325409}" name="Tabela5911141720232629323840425" displayName="Tabela5911141720232629323840425" ref="G15:K31" totalsRowShown="0" headerRowDxfId="229" headerRowBorderDxfId="228">
  <tableColumns count="5">
    <tableColumn id="1" xr3:uid="{6B79A745-8D08-4F21-BEE3-BD0113C70085}" name="DESCRIÇÃO"/>
    <tableColumn id="5" xr3:uid="{8DB45E29-880D-40CF-B323-D38DD79AB5D3}" name="PAGADOR"/>
    <tableColumn id="4" xr3:uid="{CFE5A175-64ED-432A-9F5F-BCFF4E888C91}" name="TIPO" dataDxfId="227"/>
    <tableColumn id="2" xr3:uid="{0A7432B1-04C5-4027-9361-1B93C46296C7}" name="PREVISTO" dataDxfId="226" dataCellStyle="Moeda"/>
    <tableColumn id="3" xr3:uid="{7A70C13F-D5DE-43F0-BBEA-06EF55341B96}" name="RECEBIDO" dataDxfId="225" dataCellStyle="Moed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61CCE9-249E-414C-9588-EEC3D170EF10}" name="Tabela41012151821242730333941436" displayName="Tabela41012151821242730333941436" ref="M13:Q35" totalsRowShown="0" headerRowDxfId="224" headerRowBorderDxfId="223">
  <autoFilter ref="M13:Q35" xr:uid="{F561CCE9-249E-414C-9588-EEC3D170EF10}"/>
  <sortState xmlns:xlrd2="http://schemas.microsoft.com/office/spreadsheetml/2017/richdata2" ref="M14:Q35">
    <sortCondition ref="P13:P35"/>
  </sortState>
  <tableColumns count="5">
    <tableColumn id="1" xr3:uid="{96317096-93EC-44CB-81CC-06D604DE83FF}" name="Descrição"/>
    <tableColumn id="2" xr3:uid="{963A6B89-59E2-4A52-A101-2A050ADFDDBA}" name="Valor" dataCellStyle="Moeda"/>
    <tableColumn id="3" xr3:uid="{6DB2E7FB-B171-43AD-B223-473265B07D34}" name="Data" dataDxfId="222"/>
    <tableColumn id="4" xr3:uid="{2594C432-C0AB-41FE-8893-812819D67861}" name="Pagador"/>
    <tableColumn id="5" xr3:uid="{F5329FF8-3557-4031-BD37-AD257C15497A}" name="Banc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13F39-764A-423A-B3B6-0063046A272C}" name="Tabela3231316192225283137363442" displayName="Tabela3231316192225283137363442" ref="B15:E36" totalsRowShown="0" headerRowDxfId="221" headerRowBorderDxfId="220">
  <tableColumns count="4">
    <tableColumn id="1" xr3:uid="{9FF1BCA6-4E12-4059-A2DC-551512507C64}" name="DESCRIÇÃO"/>
    <tableColumn id="4" xr3:uid="{8C91E638-D414-46B5-BF09-0034A9BA1D59}" name="TIPO" dataDxfId="219"/>
    <tableColumn id="2" xr3:uid="{C4335B78-3103-484C-9A43-8F9CAE8C6BE2}" name="PREVISTO" dataDxfId="218" dataCellStyle="Moeda"/>
    <tableColumn id="3" xr3:uid="{91C75C4E-FFB3-472A-8CFC-8E794EB9E083}" name="PAGO" dataDxfId="217" dataCellStyle="Moed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EADE29-9E35-4E9B-A061-893ECCAB7375}" name="Tabela59111417202326293238404259" displayName="Tabela59111417202326293238404259" ref="G15:K33" totalsRowShown="0" headerRowDxfId="216" headerRowBorderDxfId="215">
  <tableColumns count="5">
    <tableColumn id="1" xr3:uid="{275163FD-C37B-4B38-BB79-0C32690A9EBA}" name="DESCRIÇÃO"/>
    <tableColumn id="5" xr3:uid="{B1D74BD7-E3FE-4D28-BBB4-852749009CD4}" name="PAGADOR"/>
    <tableColumn id="4" xr3:uid="{4A8E9DAA-FE66-492C-990B-D8552575595C}" name="TIPO" dataDxfId="214"/>
    <tableColumn id="2" xr3:uid="{D638ED67-31D0-44C7-B65A-3073A121900A}" name="PREVISTO" dataDxfId="213" dataCellStyle="Moeda"/>
    <tableColumn id="3" xr3:uid="{0DB583DB-F990-4681-9527-97C111272A59}" name="RECEBIDO" dataDxfId="212" dataCellStyle="Mo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2049B4-5709-43DC-9D83-781BBBA5E116}" name="Tabela4101215182124273033394143610" displayName="Tabela4101215182124273033394143610" ref="M13:Q33" totalsRowShown="0" headerRowDxfId="211" headerRowBorderDxfId="210">
  <autoFilter ref="M13:Q33" xr:uid="{682049B4-5709-43DC-9D83-781BBBA5E116}"/>
  <sortState xmlns:xlrd2="http://schemas.microsoft.com/office/spreadsheetml/2017/richdata2" ref="M14:Q33">
    <sortCondition ref="P13:P33"/>
  </sortState>
  <tableColumns count="5">
    <tableColumn id="1" xr3:uid="{26190392-0325-496E-9B05-2818F6D6EEEC}" name="Descrição"/>
    <tableColumn id="2" xr3:uid="{BAA1B602-BECB-4BB2-825D-A80C3B7CB9DD}" name="Valor" dataCellStyle="Moeda"/>
    <tableColumn id="3" xr3:uid="{56946B3A-9F5C-4E20-B17A-A8B3F3902049}" name="Data" dataDxfId="209"/>
    <tableColumn id="4" xr3:uid="{44B31086-4866-4D25-A5A4-7B3A99BA9C4C}" name="Pagador"/>
    <tableColumn id="5" xr3:uid="{2F74E326-4B1D-44D8-8B9A-D0893D0B07C6}" name="Banc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357CBF-D1FD-4A50-9811-4E2A57733493}" name="Tabela32313" displayName="Tabela32313" ref="B15:E34" totalsRowShown="0" headerRowDxfId="208" headerRowBorderDxfId="207">
  <tableColumns count="4">
    <tableColumn id="1" xr3:uid="{B54FFD7F-6967-4D47-AEE6-A16FA3250684}" name="DESCRIÇÃO"/>
    <tableColumn id="4" xr3:uid="{6A11E5DF-9EEC-4E71-85BD-14ACD41C64CA}" name="TIPO" dataDxfId="206"/>
    <tableColumn id="2" xr3:uid="{C6658F4B-FF11-4361-BA04-61AFFBAB735C}" name="PREVISTO" dataDxfId="205" dataCellStyle="Moeda"/>
    <tableColumn id="3" xr3:uid="{8F990BF6-75DB-45D6-B94B-C08C4A5DDD23}" name="PAGO" dataDxfId="204" dataCellStyle="Moed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779E1F-2FDA-496A-BBFC-24FC508F5413}" name="Tabela591114" displayName="Tabela591114" ref="G15:K34" totalsRowShown="0" headerRowDxfId="203" headerRowBorderDxfId="202">
  <tableColumns count="5">
    <tableColumn id="1" xr3:uid="{EAFC2C35-3108-4DCE-8346-DFAF8B6E04EE}" name="DESCRIÇÃO"/>
    <tableColumn id="5" xr3:uid="{235F9ED2-3197-42E7-9664-635035D6F06E}" name="PAGADOR"/>
    <tableColumn id="4" xr3:uid="{660D0F16-EFE2-436A-8FE7-E4F77FDB12DF}" name="TIPO" dataDxfId="201"/>
    <tableColumn id="2" xr3:uid="{6A7F34A0-88C4-4913-A9DB-0CEC9A7671C5}" name="PREVISTO" dataDxfId="200" dataCellStyle="Moeda"/>
    <tableColumn id="3" xr3:uid="{CA8E9376-F92B-474A-872D-CB44268CF168}" name="RECEBIDO" dataDxfId="199" dataCellStyle="Moed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9F7FA-2DE2-4DB8-A274-A56038E7372A}" name="Tabela41012151821242730333941436103" displayName="Tabela41012151821242730333941436103" ref="M13:Q29" totalsRowShown="0" headerRowDxfId="198" headerRowBorderDxfId="197">
  <autoFilter ref="M13:Q29" xr:uid="{3999F7FA-2DE2-4DB8-A274-A56038E7372A}"/>
  <sortState xmlns:xlrd2="http://schemas.microsoft.com/office/spreadsheetml/2017/richdata2" ref="M14:Q29">
    <sortCondition ref="P13:P29"/>
  </sortState>
  <tableColumns count="5">
    <tableColumn id="1" xr3:uid="{7A14AD0F-5AA8-485B-BE81-04AE8AE0D476}" name="Descrição"/>
    <tableColumn id="2" xr3:uid="{2B464BD6-A2BF-4C61-894E-61D5197C8C6D}" name="Valor" dataCellStyle="Moeda"/>
    <tableColumn id="3" xr3:uid="{50AEF297-F93C-4348-ACB9-52D17DA5439E}" name="Data" dataDxfId="196"/>
    <tableColumn id="4" xr3:uid="{6DAF710A-95D6-47FA-9594-F776A568E134}" name="Pagador"/>
    <tableColumn id="5" xr3:uid="{D34773BE-FF5D-4FEF-8C89-A0CDDAA2CD8D}" name="Banc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935947-2515-459F-A8DD-BFB22A3E6294}" name="Tabela3231311" displayName="Tabela3231311" ref="B15:E31" totalsRowShown="0" headerRowDxfId="195" headerRowBorderDxfId="194">
  <tableColumns count="4">
    <tableColumn id="1" xr3:uid="{F0E4BE48-CF85-4A98-BB9E-88A1DB180EE9}" name="DESCRIÇÃO"/>
    <tableColumn id="4" xr3:uid="{0621AB92-C29E-414D-9B92-0E2190762DA8}" name="TIPO" dataDxfId="193"/>
    <tableColumn id="2" xr3:uid="{DD37AFE7-1331-4C7B-96E2-9B71A624CCDC}" name="PREVISTO" dataDxfId="192" dataCellStyle="Moeda"/>
    <tableColumn id="3" xr3:uid="{041A1CDE-3985-418C-9BB3-3023398FB107}" name="PAGO" dataDxfId="191" dataCellStyle="Moe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47B8AA-2605-437C-B8ED-33D4AE0A3204}" name="Tabela59111412" displayName="Tabela59111412" ref="G15:K28" totalsRowShown="0" headerRowDxfId="190" headerRowBorderDxfId="189">
  <tableColumns count="5">
    <tableColumn id="1" xr3:uid="{FD3A56C5-02BE-4386-BEA0-D6217F7DD1AA}" name="DESCRIÇÃO"/>
    <tableColumn id="5" xr3:uid="{D37992A9-F043-4323-BD6E-CFB8BA313101}" name="PAGADOR"/>
    <tableColumn id="4" xr3:uid="{C5348ABB-4827-4C0A-8478-B5743C8A8661}" name="TIPO" dataDxfId="188"/>
    <tableColumn id="2" xr3:uid="{23DF932F-B589-4AFD-9615-268678F7BF84}" name="PREVISTO" dataDxfId="187" dataCellStyle="Moeda"/>
    <tableColumn id="3" xr3:uid="{7CA32D4C-EB92-4666-84E3-76C809E23301}" name="RECEBIDO" dataDxfId="186" dataCellStyle="Moed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D0CB07-5E53-4D03-838A-5AC83AA0E16D}" name="Tabela4101215182124273033394143610315" displayName="Tabela4101215182124273033394143610315" ref="M13:Q28" totalsRowShown="0" headerRowDxfId="185" headerRowBorderDxfId="184">
  <autoFilter ref="M13:Q28" xr:uid="{04D0CB07-5E53-4D03-838A-5AC83AA0E16D}"/>
  <sortState xmlns:xlrd2="http://schemas.microsoft.com/office/spreadsheetml/2017/richdata2" ref="M14:Q28">
    <sortCondition ref="P13:P28"/>
  </sortState>
  <tableColumns count="5">
    <tableColumn id="1" xr3:uid="{A11DA2FB-7E9A-4585-BD3A-BB705B24D161}" name="Descrição"/>
    <tableColumn id="2" xr3:uid="{EEA912E2-5FDE-4176-863F-A4641F1F3E60}" name="Valor" dataCellStyle="Moeda"/>
    <tableColumn id="3" xr3:uid="{EEDE8716-D14C-4893-A8B4-27858F633D06}" name="Data" dataDxfId="183"/>
    <tableColumn id="4" xr3:uid="{2E874531-8045-44F2-ACA4-A7280A6DB32D}" name="Pagador"/>
    <tableColumn id="5" xr3:uid="{69686214-88D5-4FCD-9F27-BD6273BD0BA5}" name="Banc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691E08-AC8C-48C5-BF52-41D02FB71EF2}" name="Tabela323131116" displayName="Tabela323131116" ref="B15:E22" totalsRowShown="0" headerRowDxfId="182" headerRowBorderDxfId="181">
  <tableColumns count="4">
    <tableColumn id="1" xr3:uid="{AF154484-86AA-4D14-B878-3A6587BF30A7}" name="DESCRIÇÃO"/>
    <tableColumn id="4" xr3:uid="{ED9F0158-FA90-421D-8E2B-7F3D94892BF4}" name="TIPO" dataDxfId="180"/>
    <tableColumn id="2" xr3:uid="{8770EAA0-AF96-403A-8279-8A3D70077C72}" name="PREVISTO" dataDxfId="179" dataCellStyle="Moeda"/>
    <tableColumn id="3" xr3:uid="{ED3F104D-C1B4-445D-81E6-71EA06ABD1A6}" name="PAGO" dataDxfId="178" dataCellStyle="Moed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B8D2EEB-B852-4A58-8CDB-D59CF16D7105}" name="Tabela5911141217" displayName="Tabela5911141217" ref="G15:K27" totalsRowShown="0" headerRowDxfId="177" headerRowBorderDxfId="176">
  <tableColumns count="5">
    <tableColumn id="1" xr3:uid="{C6F2E1F4-F545-4315-9795-4E7AC8A237D9}" name="DESCRIÇÃO"/>
    <tableColumn id="5" xr3:uid="{2DBC2673-64ED-4640-BA4B-F72CDB0E45B3}" name="PAGADOR"/>
    <tableColumn id="4" xr3:uid="{7294ACCA-24F9-4E3C-808D-EA89DDB000EA}" name="TIPO" dataDxfId="175"/>
    <tableColumn id="2" xr3:uid="{4A254CA5-6A1A-4903-AABB-809EB9828C32}" name="PREVISTO" dataDxfId="174" dataCellStyle="Moeda"/>
    <tableColumn id="3" xr3:uid="{BDFDB118-EE42-4334-B762-41D2C52C0D7F}" name="RECEBIDO" dataDxfId="173" dataCellStyle="Moed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A5C31CE-4D13-4D2A-840D-580070578251}" name="Tabela410121518212427303339414361031518" displayName="Tabela410121518212427303339414361031518" ref="M13:R26" totalsRowShown="0" headerRowDxfId="172" headerRowBorderDxfId="171">
  <autoFilter ref="M13:R26" xr:uid="{6A5C31CE-4D13-4D2A-840D-580070578251}"/>
  <sortState xmlns:xlrd2="http://schemas.microsoft.com/office/spreadsheetml/2017/richdata2" ref="M14:Q26">
    <sortCondition ref="P13:P26"/>
  </sortState>
  <tableColumns count="6">
    <tableColumn id="1" xr3:uid="{415A6BB7-FABB-434A-8C8A-9546A6F0B917}" name="Descrição"/>
    <tableColumn id="2" xr3:uid="{A5CAF641-4C3C-4EB7-A71E-147F29E6855F}" name="Valor" dataCellStyle="Moeda"/>
    <tableColumn id="3" xr3:uid="{03286D88-3775-40A0-824F-9F10338BFB3A}" name="Data" dataDxfId="170"/>
    <tableColumn id="4" xr3:uid="{F77065FF-77AA-46D1-B792-C6B0E5D77B29}" name="Pagador"/>
    <tableColumn id="5" xr3:uid="{46D9A7AA-D6BB-43F5-B5DC-C33DAAFD2BB1}" name="Banco"/>
    <tableColumn id="6" xr3:uid="{E924DC31-18F0-4996-87C6-4D157EFE1C19}" name="Status" dataDxfId="1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ECACA8F-FB5C-47ED-AE91-563D384D06E2}" name="Tabela32313161922" displayName="Tabela32313161922" ref="B15:E31" totalsRowShown="0" headerRowDxfId="168" headerRowBorderDxfId="167">
  <tableColumns count="4">
    <tableColumn id="1" xr3:uid="{6D5ED36A-CD2D-4AF3-9E94-369C16651EA3}" name="DESCRIÇÃO"/>
    <tableColumn id="4" xr3:uid="{FFF7A2CA-861D-425B-A98B-ABD74D903126}" name="TIPO" dataDxfId="166"/>
    <tableColumn id="2" xr3:uid="{BA62DBF0-834D-4EE6-AC81-544E42841EEB}" name="PREVISTO" dataDxfId="165" dataCellStyle="Moeda"/>
    <tableColumn id="3" xr3:uid="{14A222EF-C385-4AFC-9F05-0F69E0A34C8F}" name="PAGO" dataDxfId="164" dataCellStyle="Moed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99DE55D-95A7-46E2-9699-30AD5996F341}" name="Tabela591114172023" displayName="Tabela591114172023" ref="G15:K28" totalsRowShown="0" headerRowDxfId="163" headerRowBorderDxfId="162">
  <tableColumns count="5">
    <tableColumn id="1" xr3:uid="{AD91B3E7-82A1-478D-916C-53B8FAC34D36}" name="DESCRIÇÃO"/>
    <tableColumn id="5" xr3:uid="{8835C9C1-A68F-4FE1-AE98-875B053E44F6}" name="PAGADOR"/>
    <tableColumn id="4" xr3:uid="{E9BFE9C0-FE2E-49CF-A041-9307FA4EDA9B}" name="TIPO" dataDxfId="161"/>
    <tableColumn id="2" xr3:uid="{99529647-7FE8-4BBE-9EF2-7B9D5D10EE7F}" name="PREVISTO" dataDxfId="160" dataCellStyle="Moeda"/>
    <tableColumn id="3" xr3:uid="{ABCDD650-8DC7-41D0-989E-6C5CC7E38D76}" name="RECEBIDO" dataDxfId="159" dataCellStyle="Moed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E0D6287-7630-48C0-81CE-866AA21F6847}" name="Tabela4101215182124" displayName="Tabela4101215182124" ref="N13:R19" totalsRowShown="0" headerRowDxfId="158" headerRowBorderDxfId="157">
  <autoFilter ref="N13:R19" xr:uid="{339C2FE7-7DE6-4C2E-8E46-E3EB1FF9DE61}"/>
  <tableColumns count="5">
    <tableColumn id="1" xr3:uid="{BBF1AD31-5098-4EA5-9F9F-31D73DDD3F1B}" name="DESCRIÇÃO"/>
    <tableColumn id="2" xr3:uid="{B2D75C93-0935-4F9B-88CA-18AFFFC07CDD}" name="VALOR" dataCellStyle="Moeda"/>
    <tableColumn id="3" xr3:uid="{E313CC1F-C97D-4EA7-969F-0607F6BB6DA8}" name="DATA" dataDxfId="156"/>
    <tableColumn id="4" xr3:uid="{B6E6B539-B229-4DC6-996A-088D51399623}" name="COMPRADOR"/>
    <tableColumn id="5" xr3:uid="{007C8067-76B2-4F3E-B6CC-F3F31D97A10C}" name="BANC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A501962-9973-4164-BA32-0D5A6DDED442}" name="Tabela3231316192225" displayName="Tabela3231316192225" ref="B15:E31" totalsRowShown="0" headerRowDxfId="155" headerRowBorderDxfId="154">
  <tableColumns count="4">
    <tableColumn id="1" xr3:uid="{635353E8-B854-417F-8365-323612878E6B}" name="DESCRIÇÃO"/>
    <tableColumn id="4" xr3:uid="{4A506709-F966-4182-92F4-16CC9DE87045}" name="TIPO" dataDxfId="153"/>
    <tableColumn id="2" xr3:uid="{216B0B2E-EC93-4911-92E2-A2100335DE84}" name="PREVISTO" dataDxfId="152" dataCellStyle="Moeda"/>
    <tableColumn id="3" xr3:uid="{456AB460-911C-4429-AD40-A099804B5E4A}" name="PAGO" dataDxfId="151" dataCellStyle="Moed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6924F72-6D9C-4F33-9FC5-323FE9807AB5}" name="Tabela59111417202326" displayName="Tabela59111417202326" ref="G15:K32" totalsRowShown="0" headerRowDxfId="150" headerRowBorderDxfId="149">
  <tableColumns count="5">
    <tableColumn id="1" xr3:uid="{DD30B0C8-90A5-486A-B3ED-7B2798459873}" name="DESCRIÇÃO"/>
    <tableColumn id="5" xr3:uid="{F670990E-7E43-4235-A4AB-A0E473650071}" name="PAGADOR"/>
    <tableColumn id="4" xr3:uid="{3EA8E5F8-719D-4F20-97BF-EE5DDE4F9EAF}" name="TIPO" dataDxfId="148"/>
    <tableColumn id="2" xr3:uid="{9B0487FE-5CE1-4DCA-B665-C9764FEB5FEA}" name="PREVISTO" dataDxfId="147" dataCellStyle="Moeda"/>
    <tableColumn id="3" xr3:uid="{EE2A816E-0F07-479D-A8AE-F28B69BB72A4}" name="RECEBIDO" dataDxfId="146" dataCellStyle="Moeda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6C037FA-BE12-4ADB-AB30-1B8849AD08AC}" name="Tabela410121518212427" displayName="Tabela410121518212427" ref="N13:R21" totalsRowShown="0" headerRowDxfId="145" headerRowBorderDxfId="144">
  <autoFilter ref="N13:R21" xr:uid="{339C2FE7-7DE6-4C2E-8E46-E3EB1FF9DE61}"/>
  <tableColumns count="5">
    <tableColumn id="1" xr3:uid="{43621347-B998-44C8-9192-33132A8DF3BA}" name="DESCRIÇÃO"/>
    <tableColumn id="2" xr3:uid="{16462D9C-538A-462C-A2BD-E88F9E1755F0}" name="VALOR" dataCellStyle="Moeda"/>
    <tableColumn id="3" xr3:uid="{CD581B15-DE3E-4B07-AC5E-C578021A5091}" name="DATA" dataDxfId="143"/>
    <tableColumn id="4" xr3:uid="{6A7E5883-E329-4B26-BC4C-B557649A5163}" name="COMPRADOR"/>
    <tableColumn id="5" xr3:uid="{62DD0719-0879-422C-A2B8-527BE43A19B3}" name="BANC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F7E51D-4958-4B21-A4C7-2C5E545FB923}" name="Tabela323131619222528" displayName="Tabela323131619222528" ref="B15:E32" totalsRowShown="0" headerRowDxfId="142" headerRowBorderDxfId="141">
  <tableColumns count="4">
    <tableColumn id="1" xr3:uid="{B0D1ADC4-ECFE-4392-8849-A70C64E6A251}" name="DESCRIÇÃO"/>
    <tableColumn id="4" xr3:uid="{F3708303-2D5C-4035-ABA6-0483DC483A90}" name="TIPO" dataDxfId="140"/>
    <tableColumn id="2" xr3:uid="{5E248B63-10A0-4203-AE42-60DC73133990}" name="PREVISTO" dataDxfId="139" dataCellStyle="Moeda"/>
    <tableColumn id="3" xr3:uid="{624E6646-1765-482D-8634-5FA06864B69D}" name="PAGO" dataDxfId="138" dataCellStyle="Moed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225DD04-54FA-46DB-8390-B85028E9F149}" name="Tabela5911141720232629" displayName="Tabela5911141720232629" ref="G15:K29" totalsRowShown="0" headerRowDxfId="137" headerRowBorderDxfId="136">
  <tableColumns count="5">
    <tableColumn id="1" xr3:uid="{C0736C01-A3A4-4BA4-B859-468991619162}" name="DESCRIÇÃO"/>
    <tableColumn id="5" xr3:uid="{545032B4-A331-4DD5-96BB-8656991FFF24}" name="PAGADOR"/>
    <tableColumn id="4" xr3:uid="{0B7EB38A-0095-4425-8901-2958ED8E2157}" name="TIPO" dataDxfId="135"/>
    <tableColumn id="2" xr3:uid="{18051300-9F40-4C21-9055-27FDBB22C572}" name="PREVISTO" dataDxfId="134" dataCellStyle="Moeda"/>
    <tableColumn id="3" xr3:uid="{0D2C7638-5A71-46F5-A0D2-C3187FF6A901}" name="RECEBIDO" dataDxfId="133" dataCellStyle="Moeda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D391899-29BB-408B-BAFB-98C8D61844A2}" name="Tabela41012151821242730" displayName="Tabela41012151821242730" ref="N13:R21" totalsRowShown="0" headerRowDxfId="132" headerRowBorderDxfId="131">
  <autoFilter ref="N13:R21" xr:uid="{339C2FE7-7DE6-4C2E-8E46-E3EB1FF9DE61}"/>
  <tableColumns count="5">
    <tableColumn id="1" xr3:uid="{6F5D6F1A-B368-4B08-AE91-1C8BA9C8F2A4}" name="DESCRIÇÃO"/>
    <tableColumn id="2" xr3:uid="{551855EE-0FFF-46B7-ADE0-4127EFCA9D60}" name="VALOR" dataCellStyle="Moeda"/>
    <tableColumn id="3" xr3:uid="{CACDB33B-474E-413D-9B48-591694D2E9F2}" name="DATA" dataDxfId="130"/>
    <tableColumn id="4" xr3:uid="{C2CA9D7E-7FCA-461D-A813-1475B41743E9}" name="COMPRADOR"/>
    <tableColumn id="5" xr3:uid="{65A0E971-61B4-4EFD-AC39-40A931820911}" name="BANC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FA24E80-8CBB-4572-9E33-844577F220E8}" name="Tabela32313161922252831" displayName="Tabela32313161922252831" ref="B15:E32" totalsRowShown="0" headerRowDxfId="129" headerRowBorderDxfId="128">
  <tableColumns count="4">
    <tableColumn id="1" xr3:uid="{6384512D-F6A2-4912-ABBC-E4A54A1C2082}" name="DESCRIÇÃO"/>
    <tableColumn id="4" xr3:uid="{D9DB746C-C745-4EFF-A71C-3B4DC618E72C}" name="TIPO" dataDxfId="127"/>
    <tableColumn id="2" xr3:uid="{9D31EC10-CBA1-49EF-B699-778B47268442}" name="PREVISTO" dataDxfId="126" dataCellStyle="Moeda"/>
    <tableColumn id="3" xr3:uid="{4FAA7F95-BAAA-45EE-8793-5B7E7344841E}" name="PAGO" dataDxfId="125" dataCellStyle="Moed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A486624-299F-4B1F-9ADC-81DAEA0363DD}" name="Tabela591114172023262932" displayName="Tabela591114172023262932" ref="G15:K31" totalsRowShown="0" headerRowDxfId="124" headerRowBorderDxfId="123">
  <tableColumns count="5">
    <tableColumn id="1" xr3:uid="{814B62D3-15E6-4FCC-8ADF-230493D1BBC3}" name="DESCRIÇÃO"/>
    <tableColumn id="5" xr3:uid="{322CA934-8EB1-4D69-AEDD-A9BC4FE51160}" name="PAGADOR"/>
    <tableColumn id="4" xr3:uid="{F87D9AC9-D022-472B-9D72-13843AA3382A}" name="TIPO" dataDxfId="122"/>
    <tableColumn id="2" xr3:uid="{04C92519-AB17-41D4-980F-2BA101213442}" name="PREVISTO" dataDxfId="121" dataCellStyle="Moeda"/>
    <tableColumn id="3" xr3:uid="{74117D70-EFCE-4BFF-A9CF-AA77D845A58D}" name="RECEBIDO" dataDxfId="120" dataCellStyle="Moed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8DDC3D-77F3-44DE-A2E0-2FDF6AC1EB38}" name="Tabela4101215182124273033" displayName="Tabela4101215182124273033" ref="N13:R22" totalsRowShown="0" headerRowDxfId="119" headerRowBorderDxfId="118">
  <autoFilter ref="N13:R22" xr:uid="{339C2FE7-7DE6-4C2E-8E46-E3EB1FF9DE61}"/>
  <tableColumns count="5">
    <tableColumn id="1" xr3:uid="{6C8A3901-40BB-4E8E-9B60-3D59758D9A74}" name="DESCRIÇÃO"/>
    <tableColumn id="2" xr3:uid="{9566D71E-2D00-4CBC-954D-E291788488CB}" name="VALOR" dataCellStyle="Moeda"/>
    <tableColumn id="3" xr3:uid="{480BCFB3-7B12-4806-9534-2092425328F5}" name="DATA" dataDxfId="117"/>
    <tableColumn id="4" xr3:uid="{8ADDFF9A-D981-4140-BB9C-C3F66AFC691D}" name="COMPRADOR"/>
    <tableColumn id="5" xr3:uid="{7E1E6BC8-BB2D-40A6-B849-40DB43146D3E}" name="BANC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E1C3EFC-DEF1-40EC-A936-E1003D123FFE}" name="Tabela3231316192225283137" displayName="Tabela3231316192225283137" ref="B15:E32" totalsRowShown="0" headerRowDxfId="116" headerRowBorderDxfId="115">
  <tableColumns count="4">
    <tableColumn id="1" xr3:uid="{4625F5D9-5520-44FA-9D27-94CDDAF75097}" name="DESCRIÇÃO"/>
    <tableColumn id="4" xr3:uid="{CCAEA34D-4319-4237-AE78-9A7DF8C453E4}" name="TIPO" dataDxfId="114"/>
    <tableColumn id="2" xr3:uid="{BFB74001-13B9-41DA-9964-E09E93B52A6C}" name="PREVISTO" dataDxfId="113" dataCellStyle="Moeda"/>
    <tableColumn id="3" xr3:uid="{766978C5-DF33-45EC-A34B-7DCBCD375176}" name="PAGO" dataDxfId="112" dataCellStyle="Moed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1285DF4-E1DF-4F3E-9E49-463586B657D0}" name="Tabela59111417202326293238" displayName="Tabela59111417202326293238" ref="G15:K31" totalsRowShown="0" headerRowDxfId="111" headerRowBorderDxfId="110">
  <tableColumns count="5">
    <tableColumn id="1" xr3:uid="{B9626E4C-8A68-4B11-AB6E-08266E926673}" name="DESCRIÇÃO"/>
    <tableColumn id="5" xr3:uid="{27F978C8-7854-46FE-ADD3-6CB9C6B7ABAD}" name="PAGADOR"/>
    <tableColumn id="4" xr3:uid="{57B4EF88-9B7F-4E16-BE74-062CC0F302D4}" name="TIPO" dataDxfId="109"/>
    <tableColumn id="2" xr3:uid="{517597A2-FD69-40BB-95E6-1AD6497644B2}" name="PREVISTO" dataDxfId="108" dataCellStyle="Moeda"/>
    <tableColumn id="3" xr3:uid="{C54305FC-9439-4396-9021-BF67FBF63C7B}" name="RECEBIDO" dataDxfId="107" dataCellStyle="Moeda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7B9DDD0-DD17-433E-9105-F535D5CCFF58}" name="Tabela410121518212427303339" displayName="Tabela410121518212427303339" ref="N13:R22" totalsRowShown="0" headerRowDxfId="106" headerRowBorderDxfId="105">
  <autoFilter ref="N13:R22" xr:uid="{339C2FE7-7DE6-4C2E-8E46-E3EB1FF9DE61}"/>
  <tableColumns count="5">
    <tableColumn id="1" xr3:uid="{9FC5F638-E6F9-41A4-8455-43D77182F991}" name="DESCRIÇÃO"/>
    <tableColumn id="2" xr3:uid="{478A4A71-B9DE-4CE0-96B8-A7FED8FCBB1E}" name="VALOR" dataCellStyle="Moeda"/>
    <tableColumn id="3" xr3:uid="{6DE3A44C-043C-475C-8292-9000157DE0F7}" name="DATA" dataDxfId="104"/>
    <tableColumn id="4" xr3:uid="{551B67B8-483B-43FD-9966-3A7E73509E72}" name="COMPRADOR"/>
    <tableColumn id="5" xr3:uid="{03C1C41F-C3B4-49FD-B264-B22F3F89E250}" name="BANCO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3674FD-A506-4F25-BAC3-B4475A368B0F}" name="Tabela6" displayName="Tabela6" ref="B14:E37" totalsRowShown="0" headerRowDxfId="103" headerRowBorderDxfId="102">
  <tableColumns count="4">
    <tableColumn id="1" xr3:uid="{0B6BABC0-2940-42F5-BB63-865954068B99}" name="DESCRIÇÃO"/>
    <tableColumn id="4" xr3:uid="{33D167A3-A23E-4D12-8155-08397A927648}" name="TIPO" dataDxfId="101"/>
    <tableColumn id="2" xr3:uid="{08577210-ECD7-453D-ADD9-7725A6882F8A}" name="PREVISTO" dataCellStyle="Moeda"/>
    <tableColumn id="3" xr3:uid="{0AA8A36E-65D2-486C-8371-1B5A4777EBEC}" name="PAGO" dataCellStyle="Moed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C06513-7D8D-447F-BFC6-175064863C6E}" name="Tabela7" displayName="Tabela7" ref="G14:K37" totalsRowShown="0" headerRowDxfId="100" headerRowBorderDxfId="99">
  <tableColumns count="5">
    <tableColumn id="1" xr3:uid="{70B87D17-BC41-48C8-B1D6-D481AB9C4C2C}" name="DESCRIÇÃO"/>
    <tableColumn id="5" xr3:uid="{68D3F8C5-4B84-4847-9306-F698659C9322}" name="PAGADOR"/>
    <tableColumn id="4" xr3:uid="{60429262-0D40-46DF-BBAE-A0B30E5B17F8}" name="TIPO" dataDxfId="98"/>
    <tableColumn id="2" xr3:uid="{E56BE891-9E85-440B-87B6-D3C553D628CA}" name="PREVISTO" dataCellStyle="Moeda"/>
    <tableColumn id="3" xr3:uid="{DE113304-EA04-463D-97D1-23245138B7FC}" name="RECEBIDO" dataCellStyle="Moed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716B07D-88CA-4FF2-9FEB-54CDD9E95CFE}" name="Tabela41012151821242730333935" displayName="Tabela41012151821242730333935" ref="N13:R22" totalsRowShown="0" headerRowDxfId="97" headerRowBorderDxfId="96">
  <autoFilter ref="N13:R22" xr:uid="{5716B07D-88CA-4FF2-9FEB-54CDD9E95CFE}"/>
  <tableColumns count="5">
    <tableColumn id="1" xr3:uid="{29F6AC70-0EEB-4935-9102-3837079CE394}" name="DESCRIÇÃO"/>
    <tableColumn id="2" xr3:uid="{94F85B10-8B5E-4852-A611-1E4CD7666D2F}" name="VALOR" dataCellStyle="Moeda"/>
    <tableColumn id="3" xr3:uid="{1F6DB0EF-5D4A-420C-8B4D-D275637052BB}" name="DATA" dataDxfId="95"/>
    <tableColumn id="4" xr3:uid="{45F04F6F-A3F9-48CA-9CE5-DB067B949957}" name="COMPRADOR"/>
    <tableColumn id="5" xr3:uid="{1C71D311-5F76-43BA-A8BF-D1DA8C1E9121}" name="BAN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5">
    <outlinePr summaryBelow="0" summaryRight="0"/>
  </sheetPr>
  <dimension ref="A1:B5"/>
  <sheetViews>
    <sheetView workbookViewId="0">
      <selection activeCell="C8" sqref="C8"/>
    </sheetView>
  </sheetViews>
  <sheetFormatPr defaultColWidth="14.42578125" defaultRowHeight="15" customHeight="1" x14ac:dyDescent="0.25"/>
  <cols>
    <col min="1" max="1" width="29.85546875" style="2" customWidth="1"/>
    <col min="2" max="2" width="21.42578125" style="3" customWidth="1"/>
  </cols>
  <sheetData>
    <row r="1" spans="1:2" s="1" customFormat="1" ht="30" customHeight="1" x14ac:dyDescent="0.25">
      <c r="A1" s="4" t="s">
        <v>10</v>
      </c>
      <c r="B1" s="7">
        <f>SUM(Dezembro!B3)</f>
        <v>4770.1599999999962</v>
      </c>
    </row>
    <row r="2" spans="1:2" s="1" customFormat="1" ht="30" customHeight="1" x14ac:dyDescent="0.25">
      <c r="A2" s="5" t="s">
        <v>11</v>
      </c>
      <c r="B2" s="8">
        <f>SUM(Janeiro!E13,Fevereiro!E12,Março!E12,Abril!E12,Maio!E13,Junho!E13,Julho!E13,Agosto!E13,Setembro!E13,Outubro!E13,Novembro!E13,Dezembro!E13)</f>
        <v>44689.88</v>
      </c>
    </row>
    <row r="3" spans="1:2" s="1" customFormat="1" ht="30" customHeight="1" x14ac:dyDescent="0.25">
      <c r="A3" s="6" t="s">
        <v>12</v>
      </c>
      <c r="B3" s="7">
        <f>SUM(Janeiro!K13,Fevereiro!K12,Março!K12,Abril!K12,Maio!K13,Junho!K13,Julho!K13,Agosto!K13,Setembro!K13,Outubro!K13,Novembro!K13,Dezembro!K13)</f>
        <v>40797.649999999994</v>
      </c>
    </row>
    <row r="4" spans="1:2" s="1" customFormat="1" ht="30" customHeight="1" x14ac:dyDescent="0.25">
      <c r="A4" s="9" t="s">
        <v>13</v>
      </c>
      <c r="B4" s="7">
        <v>0</v>
      </c>
    </row>
    <row r="5" spans="1:2" ht="30" customHeight="1" x14ac:dyDescent="0.25">
      <c r="A5" s="11" t="s">
        <v>14</v>
      </c>
      <c r="B5" s="7">
        <v>0</v>
      </c>
    </row>
  </sheetData>
  <conditionalFormatting sqref="B1:B5">
    <cfRule type="cellIs" dxfId="94" priority="1" operator="lessThan">
      <formula>0</formula>
    </cfRule>
    <cfRule type="cellIs" dxfId="93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B6DF-EAE2-476B-88E9-7C9034F8E5A1}">
  <dimension ref="B1:AC43"/>
  <sheetViews>
    <sheetView showGridLines="0" zoomScaleNormal="100" workbookViewId="0">
      <selection activeCell="J23" sqref="J23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29.02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SUM(Faturamento!B5,K13-E13)</f>
        <v>29.020000000000437</v>
      </c>
      <c r="C3" s="41"/>
      <c r="D3" s="158"/>
      <c r="E3" s="159"/>
      <c r="G3" s="152" t="s">
        <v>19</v>
      </c>
      <c r="H3" s="153"/>
      <c r="I3" s="153"/>
      <c r="J3" s="154">
        <f>SUM(J2-B3)</f>
        <v>-4.3698378249246161E-13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7519.1799999999994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600.14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3462.94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159.75</v>
      </c>
      <c r="W6" s="107"/>
      <c r="X6" s="108" t="s">
        <v>109</v>
      </c>
      <c r="Y6" s="109">
        <f>SUM(Y4-Y5)</f>
        <v>600.14</v>
      </c>
      <c r="AA6" s="90" t="s">
        <v>110</v>
      </c>
      <c r="AB6" s="90">
        <v>7003157185</v>
      </c>
    </row>
    <row r="7" spans="2:29" ht="15" customHeight="1" x14ac:dyDescent="0.25">
      <c r="B7" s="142">
        <f>SUM(J13-D13)+Faturamento!B5</f>
        <v>-63.807999999997264</v>
      </c>
      <c r="C7" s="42"/>
      <c r="D7" s="64" t="s">
        <v>30</v>
      </c>
      <c r="E7" s="65">
        <v>29.02</v>
      </c>
      <c r="G7" s="144" t="s">
        <v>15</v>
      </c>
      <c r="H7" s="145"/>
      <c r="I7" s="145"/>
      <c r="J7" s="146">
        <f>SUM(J5*15)/100</f>
        <v>519.44100000000003</v>
      </c>
      <c r="K7" s="147"/>
      <c r="M7" s="70" t="s">
        <v>24</v>
      </c>
      <c r="N7" s="72">
        <f>SUMIFS(Tabela41012151821242730333941[Valor],Tabela41012151821242730333941[Pagador],"Augusto",Tabela41012151821242730333941[Banco],"Inter")</f>
        <v>0</v>
      </c>
      <c r="O7" s="72">
        <f>SUMIFS(Tabela41012151821242730333941[Valor],Tabela41012151821242730333941[Pagador],"Augusto",Tabela41012151821242730333941[Banco],"Santander")</f>
        <v>0</v>
      </c>
      <c r="P7" s="72">
        <f>SUMIFS(Tabela41012151821242730333941[Valor],Tabela41012151821242730333941[Pagador],"Augusto",Tabela41012151821242730333941[Banco],"Mercado Pago")</f>
        <v>0</v>
      </c>
      <c r="Q7" s="73">
        <f>SUMIFS(Tabela41012151821242730333941[Valor],Tabela41012151821242730333941[Pagador],"Augusto",Tabela41012151821242730333941[Banco],"NuBank")</f>
        <v>0</v>
      </c>
      <c r="R7" s="73">
        <f>SUMIFS(Tabela41012151821242730333941[Valor],Tabela41012151821242730333941[Pagador],"Augusto",Tabela41012151821242730333941[Banco],"PicPay")</f>
        <v>0</v>
      </c>
      <c r="T7" s="98" t="s">
        <v>97</v>
      </c>
      <c r="U7" s="99"/>
      <c r="V7" s="100">
        <v>250.49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2250.9110000000001</v>
      </c>
      <c r="K8" s="151"/>
      <c r="M8" s="70" t="s">
        <v>28</v>
      </c>
      <c r="N8" s="72">
        <f>SUMIFS(Tabela41012151821242730333941[Valor],Tabela41012151821242730333941[Pagador],"Anna",Tabela41012151821242730333941[Banco],"Inter")</f>
        <v>0</v>
      </c>
      <c r="O8" s="72">
        <f>SUMIFS(Tabela41012151821242730333941[Valor],Tabela41012151821242730333941[Pagador],"Anna",Tabela41012151821242730333941[Banco],"Santander")</f>
        <v>0</v>
      </c>
      <c r="P8" s="72">
        <f>SUMIFS(Tabela41012151821242730333941[Valor],Tabela41012151821242730333941[Pagador],"Anna",Tabela41012151821242730333941[Banco],"Mercado Pago")</f>
        <v>2718.1099999999997</v>
      </c>
      <c r="Q8" s="73">
        <f>SUMIFS(Tabela41012151821242730333941[Valor],Tabela41012151821242730333941[Pagador],"Anna",Tabela41012151821242730333941[Banco],"NuBank")</f>
        <v>0</v>
      </c>
      <c r="R8" s="73">
        <f>SUMIFS(Tabela41012151821242730333941[Valor],Tabela41012151821242730333941[Pagador],"Anna",Tabela41012151821242730333941[Banco],"PicPay")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119" t="s">
        <v>137</v>
      </c>
      <c r="E9" s="120">
        <v>0</v>
      </c>
      <c r="G9" s="128" t="s">
        <v>17</v>
      </c>
      <c r="H9" s="129"/>
      <c r="I9" s="129"/>
      <c r="J9" s="130">
        <f>SUM(K13-E13)</f>
        <v>29.020000000000437</v>
      </c>
      <c r="K9" s="131"/>
      <c r="M9" s="70" t="s">
        <v>26</v>
      </c>
      <c r="N9" s="72">
        <f>SUMIFS(Tabela41012151821242730333941[Valor],Tabela41012151821242730333941[Pagador],"Lila",Tabela41012151821242730333941[Banco],"Inter")</f>
        <v>0</v>
      </c>
      <c r="O9" s="72">
        <f>SUMIFS(Tabela41012151821242730333941[Valor],Tabela41012151821242730333941[Pagador],"Lila",Tabela41012151821242730333941[Banco],"Santander")</f>
        <v>0</v>
      </c>
      <c r="P9" s="72">
        <f>SUMIFS(Tabela41012151821242730333941[Valor],Tabela41012151821242730333941[Pagador],"Lila",Tabela41012151821242730333941[Banco],"Mercado Pago")</f>
        <v>568.88</v>
      </c>
      <c r="Q9" s="73">
        <f>SUMIFS(Tabela41012151821242730333941[Valor],Tabela41012151821242730333941[Pagador],"Lila",Tabela41012151821242730333941[Banco],"NuBank")</f>
        <v>0</v>
      </c>
      <c r="R9" s="73">
        <f>SUMIFS(Tabela41012151821242730333941[Valor],Tabela41012151821242730333941[Pagador],"Lila",Tabela41012151821242730333941[Banco],"PicPay")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420.09799999999996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SUMIFS(Tabela41012151821242730333941[Valor],Tabela41012151821242730333941[Pagador],"Paula",Tabela41012151821242730333941[Banco],"Inter")</f>
        <v>0</v>
      </c>
      <c r="O10" s="72">
        <f>SUMIFS(Tabela41012151821242730333941[Valor],Tabela41012151821242730333941[Pagador],"Paula",Tabela41012151821242730333941[Banco],"Santander")</f>
        <v>0</v>
      </c>
      <c r="P10" s="72">
        <f>SUMIFS(Tabela41012151821242730333941[Valor],Tabela41012151821242730333941[Pagador],"Paula",Tabela41012151821242730333941[Banco],"Mercado Pago")</f>
        <v>0</v>
      </c>
      <c r="Q10" s="73">
        <f>SUMIFS(Tabela41012151821242730333941[Valor],Tabela41012151821242730333941[Pagador],"Paula",Tabela41012151821242730333941[Banco],"NuBank")</f>
        <v>0</v>
      </c>
      <c r="R10" s="73">
        <f>SUMIFS(Tabela41012151821242730333941[Valor],Tabela41012151821242730333941[Pagador],"Paula",Tabela41012151821242730333941[Banco],"PicPay")</f>
        <v>0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128</v>
      </c>
      <c r="N11" s="74">
        <f>SUMIFS(Tabela41012151821242730333941[Valor],Tabela41012151821242730333941[Pagador],"Claudio",Tabela41012151821242730333941[Banco],"Inter")</f>
        <v>0</v>
      </c>
      <c r="O11" s="74">
        <f>SUMIFS(Tabela41012151821242730333941[Valor],Tabela41012151821242730333941[Pagador],"Claudio",Tabela41012151821242730333941[Banco],"Santander")</f>
        <v>0</v>
      </c>
      <c r="P11" s="74">
        <f>SUMIFS(Tabela41012151821242730333941[Valor],Tabela41012151821242730333941[Pagador],"Claudio",Tabela41012151821242730333941[Banco],"Mercado Pago")</f>
        <v>0</v>
      </c>
      <c r="Q11" s="75">
        <f>SUMIFS(Tabela41012151821242730333941[Valor],Tabela41012151821242730333941[Pagador],"Claudio",Tabela41012151821242730333941[Banco],"NuBank")</f>
        <v>0</v>
      </c>
      <c r="R11" s="75">
        <f>SUMIFS(Tabela41012151821242730333941[Valor],Tabela41012151821242730333941[Pagador],"Claudio",Tabela41012151821242730333941[Banco],"PicPay")</f>
        <v>4232.1899999999996</v>
      </c>
      <c r="T11" s="98"/>
      <c r="U11" s="99"/>
      <c r="V11" s="100"/>
      <c r="W11" s="101"/>
      <c r="X11" s="112" t="s">
        <v>89</v>
      </c>
      <c r="Y11" s="110">
        <f>((Y4*30)/100)+Y18</f>
        <v>180.042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5">
      <c r="B13" s="133" t="s">
        <v>8</v>
      </c>
      <c r="C13" s="133"/>
      <c r="D13" s="88">
        <f>SUM(D16:D33)</f>
        <v>18721.339999999997</v>
      </c>
      <c r="E13" s="88">
        <f>SUM(E16:E33)</f>
        <v>18721.339999999997</v>
      </c>
      <c r="F13" s="77"/>
      <c r="G13" s="134" t="s">
        <v>8</v>
      </c>
      <c r="H13" s="134"/>
      <c r="I13" s="134"/>
      <c r="J13" s="88">
        <f>SUM(J16:J31)</f>
        <v>18657.531999999999</v>
      </c>
      <c r="K13" s="88">
        <f>SUM(K16:K31)</f>
        <v>18750.359999999997</v>
      </c>
      <c r="M13" s="21"/>
      <c r="N13" s="81" t="s">
        <v>23</v>
      </c>
      <c r="O13" s="81" t="s">
        <v>22</v>
      </c>
      <c r="P13" s="81" t="s">
        <v>141</v>
      </c>
      <c r="Q13" s="81" t="s">
        <v>139</v>
      </c>
      <c r="R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 t="s">
        <v>138</v>
      </c>
      <c r="O14" s="3">
        <v>1485.11</v>
      </c>
      <c r="P14" s="39">
        <v>46038</v>
      </c>
      <c r="Q14" s="31" t="s">
        <v>25</v>
      </c>
      <c r="R14" s="31" t="s">
        <v>30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 t="s">
        <v>142</v>
      </c>
      <c r="O15" s="3">
        <v>200</v>
      </c>
      <c r="P15" s="39">
        <v>46029</v>
      </c>
      <c r="Q15" s="31" t="s">
        <v>25</v>
      </c>
      <c r="R15" s="31" t="s">
        <v>30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 t="s">
        <v>31</v>
      </c>
      <c r="C16" s="76" t="s">
        <v>80</v>
      </c>
      <c r="D16" s="3">
        <v>387</v>
      </c>
      <c r="E16" s="3">
        <v>387</v>
      </c>
      <c r="F16"/>
      <c r="G16" s="31" t="s">
        <v>32</v>
      </c>
      <c r="H16" s="31" t="s">
        <v>75</v>
      </c>
      <c r="I16" s="32" t="s">
        <v>68</v>
      </c>
      <c r="J16" s="3">
        <v>3462.94</v>
      </c>
      <c r="K16" s="3">
        <v>3462.94</v>
      </c>
      <c r="M16"/>
      <c r="N16" s="31" t="s">
        <v>125</v>
      </c>
      <c r="O16" s="3">
        <v>260</v>
      </c>
      <c r="P16" s="39">
        <v>46029</v>
      </c>
      <c r="Q16" s="31" t="s">
        <v>25</v>
      </c>
      <c r="R16" s="31" t="s">
        <v>30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 t="s">
        <v>90</v>
      </c>
      <c r="C17" s="76" t="s">
        <v>87</v>
      </c>
      <c r="D17" s="86">
        <v>127.71</v>
      </c>
      <c r="E17" s="3">
        <v>127.71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>
        <v>50</v>
      </c>
      <c r="M17"/>
      <c r="N17" s="31" t="s">
        <v>125</v>
      </c>
      <c r="O17" s="3">
        <v>450</v>
      </c>
      <c r="P17" s="39">
        <v>46029</v>
      </c>
      <c r="Q17" s="31" t="s">
        <v>25</v>
      </c>
      <c r="R17" s="31" t="s">
        <v>30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 t="s">
        <v>118</v>
      </c>
      <c r="C18" s="32" t="s">
        <v>104</v>
      </c>
      <c r="D18" s="86">
        <f>SUM(V6:V7)</f>
        <v>410.24</v>
      </c>
      <c r="E18" s="3">
        <v>410.24</v>
      </c>
      <c r="F18"/>
      <c r="G18" s="31" t="s">
        <v>84</v>
      </c>
      <c r="H18" s="31" t="s">
        <v>128</v>
      </c>
      <c r="I18" s="32" t="s">
        <v>53</v>
      </c>
      <c r="J18" s="3">
        <f>SUM(N11:R11)</f>
        <v>4232.1899999999996</v>
      </c>
      <c r="K18" s="3">
        <v>4232.1899999999996</v>
      </c>
      <c r="M18"/>
      <c r="N18" s="31" t="s">
        <v>143</v>
      </c>
      <c r="O18" s="3">
        <v>260</v>
      </c>
      <c r="P18" s="39">
        <v>46029</v>
      </c>
      <c r="Q18" s="31" t="s">
        <v>25</v>
      </c>
      <c r="R18" s="31" t="s">
        <v>30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 t="s">
        <v>30</v>
      </c>
      <c r="C19" s="76" t="s">
        <v>55</v>
      </c>
      <c r="D19" s="12">
        <v>1534.86</v>
      </c>
      <c r="E19" s="3">
        <v>1534.86</v>
      </c>
      <c r="F19"/>
      <c r="G19" s="31" t="s">
        <v>84</v>
      </c>
      <c r="H19" s="31" t="s">
        <v>26</v>
      </c>
      <c r="I19" s="32" t="s">
        <v>53</v>
      </c>
      <c r="J19" s="3">
        <f>SUM(N9:R9)</f>
        <v>568.88</v>
      </c>
      <c r="K19" s="3">
        <v>568.88</v>
      </c>
      <c r="M19"/>
      <c r="N19" s="31" t="s">
        <v>144</v>
      </c>
      <c r="O19" s="3">
        <v>4232.1899999999996</v>
      </c>
      <c r="P19" s="39">
        <v>46029</v>
      </c>
      <c r="Q19" s="31" t="s">
        <v>128</v>
      </c>
      <c r="R19" s="31" t="s">
        <v>98</v>
      </c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 t="s">
        <v>5</v>
      </c>
      <c r="C20" s="76" t="s">
        <v>55</v>
      </c>
      <c r="D20" s="12">
        <v>7540.44</v>
      </c>
      <c r="E20" s="86">
        <v>7540.44</v>
      </c>
      <c r="F20"/>
      <c r="G20" s="31" t="s">
        <v>84</v>
      </c>
      <c r="H20" s="31" t="s">
        <v>25</v>
      </c>
      <c r="I20" s="32" t="s">
        <v>53</v>
      </c>
      <c r="J20" s="3">
        <f>SUM(N8:R8)</f>
        <v>2718.1099999999997</v>
      </c>
      <c r="K20" s="3">
        <v>2670</v>
      </c>
      <c r="M20"/>
      <c r="N20" s="84" t="s">
        <v>145</v>
      </c>
      <c r="O20" s="12">
        <v>30</v>
      </c>
      <c r="P20" s="39">
        <v>46032</v>
      </c>
      <c r="Q20" s="84" t="s">
        <v>26</v>
      </c>
      <c r="R20" s="84" t="s">
        <v>30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 t="s">
        <v>52</v>
      </c>
      <c r="C21" s="76" t="s">
        <v>55</v>
      </c>
      <c r="D21" s="12">
        <v>519.29</v>
      </c>
      <c r="E21" s="86">
        <v>519.29</v>
      </c>
      <c r="F21"/>
      <c r="G21" s="31" t="s">
        <v>118</v>
      </c>
      <c r="H21" s="31" t="s">
        <v>89</v>
      </c>
      <c r="I21" s="32" t="s">
        <v>104</v>
      </c>
      <c r="J21" s="86">
        <f>Y11</f>
        <v>180.042</v>
      </c>
      <c r="K21" s="86">
        <v>320.98</v>
      </c>
      <c r="M21"/>
      <c r="N21" s="1" t="s">
        <v>146</v>
      </c>
      <c r="O21" s="12">
        <v>265.89999999999998</v>
      </c>
      <c r="P21" s="39">
        <v>46032</v>
      </c>
      <c r="Q21" s="1" t="s">
        <v>26</v>
      </c>
      <c r="R21" s="1" t="s">
        <v>30</v>
      </c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 t="s">
        <v>98</v>
      </c>
      <c r="C22" s="76" t="s">
        <v>55</v>
      </c>
      <c r="D22" s="12">
        <v>4232.1899999999996</v>
      </c>
      <c r="E22" s="86">
        <v>4232.1899999999996</v>
      </c>
      <c r="F22"/>
      <c r="G22" s="31" t="s">
        <v>150</v>
      </c>
      <c r="H22" s="31" t="s">
        <v>76</v>
      </c>
      <c r="I22" s="32" t="s">
        <v>82</v>
      </c>
      <c r="J22" s="86">
        <v>344</v>
      </c>
      <c r="K22" s="86">
        <v>344</v>
      </c>
      <c r="M22"/>
      <c r="N22" s="1" t="s">
        <v>147</v>
      </c>
      <c r="O22" s="12">
        <v>107.98</v>
      </c>
      <c r="P22" s="39">
        <v>46032</v>
      </c>
      <c r="Q22" s="1" t="s">
        <v>26</v>
      </c>
      <c r="R22" s="1" t="s">
        <v>30</v>
      </c>
      <c r="T22" s="90"/>
      <c r="U22" s="92" t="s">
        <v>115</v>
      </c>
      <c r="V22" s="91">
        <f>SUM(V5:V21)</f>
        <v>600.14</v>
      </c>
      <c r="W22" s="91">
        <f>SUM(W5:W21)-V22</f>
        <v>-600.14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1" t="s">
        <v>102</v>
      </c>
      <c r="C23" s="34" t="s">
        <v>102</v>
      </c>
      <c r="D23" s="86">
        <v>1485.11</v>
      </c>
      <c r="E23" s="3">
        <v>1485.11</v>
      </c>
      <c r="F23"/>
      <c r="G23" s="31" t="s">
        <v>151</v>
      </c>
      <c r="H23" s="31" t="s">
        <v>25</v>
      </c>
      <c r="I23" s="32" t="s">
        <v>88</v>
      </c>
      <c r="J23" s="86">
        <v>2000</v>
      </c>
      <c r="K23" s="86">
        <v>2000</v>
      </c>
      <c r="M23"/>
      <c r="N23" s="1" t="s">
        <v>148</v>
      </c>
      <c r="O23" s="12">
        <v>165</v>
      </c>
      <c r="P23" s="39">
        <v>46032</v>
      </c>
      <c r="Q23" s="1" t="s">
        <v>26</v>
      </c>
      <c r="R23" s="1" t="s">
        <v>30</v>
      </c>
    </row>
    <row r="24" spans="2:29" ht="15" customHeight="1" x14ac:dyDescent="0.25">
      <c r="B24" s="84" t="s">
        <v>62</v>
      </c>
      <c r="C24" s="85" t="s">
        <v>66</v>
      </c>
      <c r="D24" s="86">
        <v>29.9</v>
      </c>
      <c r="E24" s="86">
        <f>Tabela323131619222528313736[[#This Row],[PREVISTO]]</f>
        <v>29.9</v>
      </c>
      <c r="F24"/>
      <c r="G24" s="31" t="s">
        <v>73</v>
      </c>
      <c r="H24" s="31" t="s">
        <v>5</v>
      </c>
      <c r="I24" s="32" t="s">
        <v>73</v>
      </c>
      <c r="J24" s="3">
        <v>472.77</v>
      </c>
      <c r="K24" s="3">
        <f>Tabela5911141720232629323840[[#This Row],[PREVISTO]]</f>
        <v>472.77</v>
      </c>
      <c r="M24"/>
      <c r="N24" s="1" t="s">
        <v>149</v>
      </c>
      <c r="O24" s="12">
        <v>63</v>
      </c>
      <c r="P24" s="39">
        <v>46032</v>
      </c>
      <c r="Q24" s="1" t="s">
        <v>25</v>
      </c>
      <c r="R24" s="1" t="s">
        <v>30</v>
      </c>
    </row>
    <row r="25" spans="2:29" ht="15" customHeight="1" x14ac:dyDescent="0.25">
      <c r="B25" s="84" t="s">
        <v>160</v>
      </c>
      <c r="C25" s="34" t="s">
        <v>87</v>
      </c>
      <c r="D25" s="3">
        <v>30</v>
      </c>
      <c r="E25" s="86">
        <v>30</v>
      </c>
      <c r="F25"/>
      <c r="G25" s="31" t="s">
        <v>156</v>
      </c>
      <c r="H25" s="31" t="s">
        <v>133</v>
      </c>
      <c r="I25" s="32" t="s">
        <v>157</v>
      </c>
      <c r="J25" s="3">
        <v>4439</v>
      </c>
      <c r="K25" s="3">
        <v>4439</v>
      </c>
      <c r="M25"/>
    </row>
    <row r="26" spans="2:29" ht="15" customHeight="1" x14ac:dyDescent="0.25">
      <c r="B26" s="1" t="s">
        <v>152</v>
      </c>
      <c r="C26" s="34" t="s">
        <v>64</v>
      </c>
      <c r="D26" s="3">
        <v>50</v>
      </c>
      <c r="E26" s="3">
        <v>50</v>
      </c>
      <c r="F26"/>
      <c r="G26" s="31" t="s">
        <v>35</v>
      </c>
      <c r="H26" s="31" t="s">
        <v>85</v>
      </c>
      <c r="I26" s="32" t="s">
        <v>82</v>
      </c>
      <c r="J26" s="3">
        <v>150</v>
      </c>
      <c r="K26" s="3">
        <v>150</v>
      </c>
      <c r="M26"/>
    </row>
    <row r="27" spans="2:29" ht="15" customHeight="1" x14ac:dyDescent="0.25">
      <c r="B27" s="1" t="s">
        <v>153</v>
      </c>
      <c r="C27" s="34" t="s">
        <v>65</v>
      </c>
      <c r="D27" s="3">
        <v>140</v>
      </c>
      <c r="E27" s="3">
        <v>140</v>
      </c>
      <c r="F27"/>
      <c r="G27" s="31" t="s">
        <v>159</v>
      </c>
      <c r="H27" s="31" t="s">
        <v>75</v>
      </c>
      <c r="I27" s="32" t="s">
        <v>100</v>
      </c>
      <c r="J27" s="3">
        <v>39.6</v>
      </c>
      <c r="K27" s="3">
        <v>39.6</v>
      </c>
      <c r="M27"/>
    </row>
    <row r="28" spans="2:29" ht="15" customHeight="1" x14ac:dyDescent="0.25">
      <c r="B28" t="s">
        <v>154</v>
      </c>
      <c r="C28" s="30" t="s">
        <v>55</v>
      </c>
      <c r="D28" s="3">
        <v>2000</v>
      </c>
      <c r="E28" s="3">
        <v>2000</v>
      </c>
      <c r="F28"/>
      <c r="G28" s="31"/>
      <c r="H28" s="31"/>
      <c r="I28" s="32"/>
      <c r="J28" s="3"/>
      <c r="K28" s="3"/>
      <c r="M28"/>
    </row>
    <row r="29" spans="2:29" ht="15" customHeight="1" x14ac:dyDescent="0.25">
      <c r="B29" s="31" t="s">
        <v>134</v>
      </c>
      <c r="C29" s="32" t="s">
        <v>95</v>
      </c>
      <c r="D29" s="86">
        <v>180</v>
      </c>
      <c r="E29" s="86">
        <v>180</v>
      </c>
      <c r="F29"/>
      <c r="G29" s="31"/>
      <c r="H29" s="31"/>
      <c r="I29" s="32"/>
      <c r="J29" s="3"/>
      <c r="K29" s="3"/>
      <c r="M29"/>
    </row>
    <row r="30" spans="2:29" s="10" customFormat="1" ht="15" customHeight="1" x14ac:dyDescent="0.25">
      <c r="B30" t="s">
        <v>155</v>
      </c>
      <c r="C30" s="30" t="s">
        <v>87</v>
      </c>
      <c r="D30" s="86">
        <v>15</v>
      </c>
      <c r="E30" s="86">
        <v>15</v>
      </c>
      <c r="F30"/>
      <c r="G30" s="31"/>
      <c r="H30" s="31"/>
      <c r="I30" s="32"/>
      <c r="J30" s="3"/>
      <c r="K30" s="3"/>
      <c r="M30"/>
    </row>
    <row r="31" spans="2:29" ht="15" customHeight="1" x14ac:dyDescent="0.25">
      <c r="B31" s="31" t="s">
        <v>158</v>
      </c>
      <c r="C31" s="32" t="s">
        <v>75</v>
      </c>
      <c r="D31" s="3">
        <v>39.6</v>
      </c>
      <c r="E31" s="3">
        <v>39.6</v>
      </c>
      <c r="F31"/>
      <c r="G31" s="31"/>
      <c r="H31" s="31"/>
      <c r="I31" s="32"/>
      <c r="J31" s="3"/>
      <c r="K31" s="3"/>
      <c r="M31"/>
    </row>
    <row r="32" spans="2:29" ht="15" customHeight="1" x14ac:dyDescent="0.25">
      <c r="B32" s="31"/>
      <c r="C32" s="32"/>
      <c r="D32" s="3"/>
      <c r="E32" s="3"/>
      <c r="F32"/>
      <c r="G32"/>
      <c r="H32"/>
      <c r="I32" s="30"/>
      <c r="J32" s="86"/>
      <c r="K32" s="86"/>
      <c r="M32"/>
    </row>
    <row r="33" spans="2:18" ht="15" customHeight="1" x14ac:dyDescent="0.25">
      <c r="B33"/>
      <c r="C33" s="30"/>
      <c r="D33" s="86"/>
      <c r="E33" s="86"/>
      <c r="F33"/>
      <c r="G33"/>
      <c r="H33"/>
      <c r="I33" s="30"/>
      <c r="J33" s="3"/>
      <c r="K33" s="3"/>
      <c r="M33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4">
    <mergeCell ref="M2:R2"/>
    <mergeCell ref="T2:Y2"/>
    <mergeCell ref="G5:I5"/>
    <mergeCell ref="J5:K5"/>
    <mergeCell ref="B7:B8"/>
    <mergeCell ref="G7:I7"/>
    <mergeCell ref="J7:K7"/>
    <mergeCell ref="G8:I8"/>
    <mergeCell ref="J8:K8"/>
    <mergeCell ref="B3:B4"/>
    <mergeCell ref="G3:I3"/>
    <mergeCell ref="J3:K3"/>
    <mergeCell ref="J4:K4"/>
    <mergeCell ref="D2:E3"/>
    <mergeCell ref="G2:I2"/>
    <mergeCell ref="J2:K2"/>
    <mergeCell ref="B14:E14"/>
    <mergeCell ref="G14:K14"/>
    <mergeCell ref="X8:Y8"/>
    <mergeCell ref="G9:I9"/>
    <mergeCell ref="J9:K9"/>
    <mergeCell ref="B12:K12"/>
    <mergeCell ref="B13:C13"/>
    <mergeCell ref="G13:I13"/>
  </mergeCells>
  <conditionalFormatting sqref="B3">
    <cfRule type="cellIs" dxfId="92" priority="5" operator="lessThan">
      <formula>0</formula>
    </cfRule>
    <cfRule type="cellIs" dxfId="91" priority="6" operator="greaterThan">
      <formula>0</formula>
    </cfRule>
    <cfRule type="cellIs" dxfId="90" priority="7" operator="lessThan">
      <formula>0</formula>
    </cfRule>
  </conditionalFormatting>
  <conditionalFormatting sqref="B7">
    <cfRule type="cellIs" dxfId="89" priority="3" operator="lessThan">
      <formula>0</formula>
    </cfRule>
    <cfRule type="cellIs" dxfId="88" priority="4" operator="greaterThan">
      <formula>0</formula>
    </cfRule>
  </conditionalFormatting>
  <conditionalFormatting sqref="J9:J10 I11">
    <cfRule type="cellIs" dxfId="87" priority="1" operator="greaterThan">
      <formula>0</formula>
    </cfRule>
    <cfRule type="cellIs" dxfId="86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AC43"/>
  <sheetViews>
    <sheetView showGridLines="0" zoomScale="90" zoomScaleNormal="90" workbookViewId="0">
      <selection activeCell="D25" sqref="D25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4007.4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SUM(Janeiro!B3,K13-E13)</f>
        <v>4007.3999999999978</v>
      </c>
      <c r="C3" s="41"/>
      <c r="D3" s="158"/>
      <c r="E3" s="159"/>
      <c r="G3" s="152" t="s">
        <v>19</v>
      </c>
      <c r="H3" s="153"/>
      <c r="I3" s="153"/>
      <c r="J3" s="154">
        <f>SUM(J2-B3)</f>
        <v>2.2737367544323206E-12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6075.4399999999987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613.67000000000007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3540.66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98.34</v>
      </c>
      <c r="W6" s="107"/>
      <c r="X6" s="108" t="s">
        <v>109</v>
      </c>
      <c r="Y6" s="109">
        <f>SUM(Y4-Y5)</f>
        <v>613.67000000000007</v>
      </c>
      <c r="AA6" s="90" t="s">
        <v>110</v>
      </c>
      <c r="AB6" s="90">
        <v>7003157185</v>
      </c>
    </row>
    <row r="7" spans="2:29" ht="15" customHeight="1" x14ac:dyDescent="0.25">
      <c r="B7" s="142">
        <f>SUM(J13-D13)+Janeiro!B3</f>
        <v>3961.0010000000002</v>
      </c>
      <c r="C7" s="42"/>
      <c r="D7" s="64" t="s">
        <v>30</v>
      </c>
      <c r="E7" s="65">
        <v>4007.4</v>
      </c>
      <c r="G7" s="144" t="s">
        <v>15</v>
      </c>
      <c r="H7" s="145"/>
      <c r="I7" s="145"/>
      <c r="J7" s="146">
        <f>SUM(J5*15)/100</f>
        <v>531.09899999999993</v>
      </c>
      <c r="K7" s="147"/>
      <c r="M7" s="70" t="s">
        <v>66</v>
      </c>
      <c r="N7" s="72">
        <f>SUMIFS(Tabela4101215182124273033394143[Valor],Tabela4101215182124273033394143[Pagador],"Augusto",Tabela4101215182124273033394143[Banco],"Inter")</f>
        <v>0</v>
      </c>
      <c r="O7" s="72">
        <f>SUMIFS(Tabela4101215182124273033394143[Valor],Tabela4101215182124273033394143[Pagador],"Augusto",Tabela4101215182124273033394143[Banco],"Santander")</f>
        <v>0</v>
      </c>
      <c r="P7" s="72">
        <f>SUMIFS(Tabela4101215182124273033394143[Valor],Tabela4101215182124273033394143[Pagador],"Augusto",Tabela4101215182124273033394143[Banco],"Mercado Pago")</f>
        <v>0</v>
      </c>
      <c r="Q7" s="73">
        <f>SUMIFS(Tabela4101215182124273033394143[Valor],Tabela4101215182124273033394143[Pagador],"Augusto",Tabela4101215182124273033394143[Banco],"NuBank")</f>
        <v>0</v>
      </c>
      <c r="R7" s="73">
        <f>SUMIFS(Tabela4101215182124273033394143[Valor],Tabela4101215182124273033394143[Pagador],"Augusto",Tabela4101215182124273033394143[Banco],"PicPay")</f>
        <v>0</v>
      </c>
      <c r="T7" s="98" t="s">
        <v>97</v>
      </c>
      <c r="U7" s="99"/>
      <c r="V7" s="100">
        <v>325.43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2301.4290000000001</v>
      </c>
      <c r="K8" s="151"/>
      <c r="M8" s="70" t="s">
        <v>28</v>
      </c>
      <c r="N8" s="72">
        <f>SUMIFS(Tabela4101215182124273033394143[Valor],Tabela4101215182124273033394143[Pagador],"Anna",Tabela4101215182124273033394143[Banco],"Inter")</f>
        <v>450</v>
      </c>
      <c r="O8" s="72">
        <f>SUMIFS(Tabela4101215182124273033394143[Valor],Tabela4101215182124273033394143[Pagador],"Anna",Tabela4101215182124273033394143[Banco],"Santander")</f>
        <v>0</v>
      </c>
      <c r="P8" s="72">
        <f>SUMIFS(Tabela4101215182124273033394143[Valor],Tabela4101215182124273033394143[Pagador],"Anna",Tabela4101215182124273033394143[Banco],"Mercado Pago")</f>
        <v>1852.11</v>
      </c>
      <c r="Q8" s="73">
        <f>SUMIFS(Tabela4101215182124273033394143[Valor],Tabela4101215182124273033394143[Pagador],"Anna",Tabela4101215182124273033394143[Banco],"NuBank")</f>
        <v>0</v>
      </c>
      <c r="R8" s="73">
        <f>SUMIFS(Tabela4101215182124273033394143[Valor],Tabela4101215182124273033394143[Pagador],"Anna",Tabela4101215182124273033394143[Banco],"PicPay")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119" t="s">
        <v>137</v>
      </c>
      <c r="E9" s="120">
        <v>0</v>
      </c>
      <c r="G9" s="128" t="s">
        <v>17</v>
      </c>
      <c r="H9" s="129"/>
      <c r="I9" s="129"/>
      <c r="J9" s="130">
        <f>SUM(K13-E13)</f>
        <v>3978.3799999999974</v>
      </c>
      <c r="K9" s="131"/>
      <c r="M9" s="70" t="s">
        <v>26</v>
      </c>
      <c r="N9" s="72">
        <f>SUMIFS(Tabela4101215182124273033394143[Valor],Tabela4101215182124273033394143[Pagador],"Lila",Tabela4101215182124273033394143[Banco],"Inter")</f>
        <v>427</v>
      </c>
      <c r="O9" s="72">
        <f>SUMIFS(Tabela4101215182124273033394143[Valor],Tabela4101215182124273033394143[Pagador],"Lila",Tabela4101215182124273033394143[Banco],"Santander")</f>
        <v>0</v>
      </c>
      <c r="P9" s="72">
        <f>SUMIFS(Tabela4101215182124273033394143[Valor],Tabela4101215182124273033394143[Pagador],"Lila",Tabela4101215182124273033394143[Banco],"Mercado Pago")</f>
        <v>224.63</v>
      </c>
      <c r="Q9" s="73">
        <f>SUMIFS(Tabela4101215182124273033394143[Valor],Tabela4101215182124273033394143[Pagador],"Lila",Tabela4101215182124273033394143[Banco],"NuBank")</f>
        <v>0</v>
      </c>
      <c r="R9" s="73">
        <f>SUMIFS(Tabela4101215182124273033394143[Valor],Tabela4101215182124273033394143[Pagador],"Lila",Tabela4101215182124273033394143[Banco],"PicPay")</f>
        <v>1762.07</v>
      </c>
      <c r="T9" s="98"/>
      <c r="U9" s="99"/>
      <c r="V9" s="100"/>
      <c r="W9" s="101"/>
      <c r="X9" s="112" t="s">
        <v>24</v>
      </c>
      <c r="Y9" s="110">
        <f>((Y4*70)/100)+Y18</f>
        <v>429.56900000000007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128</v>
      </c>
      <c r="N10" s="72">
        <f>SUMIFS(Tabela4101215182124273033394143[Valor],Tabela4101215182124273033394143[Pagador],"Claudio",Tabela4101215182124273033394143[Banco],"Inter")</f>
        <v>0</v>
      </c>
      <c r="O10" s="72">
        <f>SUMIFS(Tabela4101215182124273033394143[Valor],Tabela4101215182124273033394143[Pagador],"Claudio",Tabela4101215182124273033394143[Banco],"Santander")</f>
        <v>0</v>
      </c>
      <c r="P10" s="72">
        <f>SUMIFS(Tabela4101215182124273033394143[Valor],Tabela4101215182124273033394143[Pagador],"Claudio",Tabela4101215182124273033394143[Banco],"Mercado Pago")</f>
        <v>0</v>
      </c>
      <c r="Q10" s="73">
        <f>SUMIFS(Tabela4101215182124273033394143[Valor],Tabela4101215182124273033394143[Pagador],"Claudio",Tabela4101215182124273033394143[Banco],"NuBank")</f>
        <v>0</v>
      </c>
      <c r="R10" s="73">
        <f>SUMIFS(Tabela4101215182124273033394143[Valor],Tabela4101215182124273033394143[Pagador],"Claudio",Tabela4101215182124273033394143[Banco],"PicPay")</f>
        <v>740.73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SUMIFS(Tabela4101215182124273033394143[Valor],Tabela4101215182124273033394143[Pagador],"Outros",Tabela4101215182124273033394143[Banco],"Inter")</f>
        <v>618.9</v>
      </c>
      <c r="O11" s="74">
        <f>SUMIFS(Tabela4101215182124273033394143[Valor],Tabela4101215182124273033394143[Pagador],"Outros",Tabela4101215182124273033394143[Banco],"Santander")</f>
        <v>0</v>
      </c>
      <c r="P11" s="74">
        <f>SUMIFS(Tabela4101215182124273033394143[Valor],Tabela4101215182124273033394143[Pagador],"Outros",Tabela4101215182124273033394143[Banco],"Mercado Pago")</f>
        <v>0</v>
      </c>
      <c r="Q11" s="75">
        <f>SUMIFS(Tabela4101215182124273033394143[Valor],Tabela4101215182124273033394143[Pagador],"Outros",Tabela4101215182124273033394143[Banco],"NuBank")</f>
        <v>0</v>
      </c>
      <c r="R11" s="75">
        <f>SUMIFS(Tabela4101215182124273033394143[Valor],Tabela4101215182124273033394143[Pagador],"Outros",Tabela4101215182124273033394143[Banco],"PicPay")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184.10100000000003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">
      <c r="B13" s="133" t="s">
        <v>8</v>
      </c>
      <c r="C13" s="133"/>
      <c r="D13" s="88">
        <f>SUM(D16:D32)</f>
        <v>17247.140000000003</v>
      </c>
      <c r="E13" s="88">
        <f>SUM(E16:E32)</f>
        <v>17247.140000000003</v>
      </c>
      <c r="F13" s="77"/>
      <c r="G13" s="134" t="s">
        <v>8</v>
      </c>
      <c r="H13" s="134"/>
      <c r="I13" s="134"/>
      <c r="J13" s="88">
        <f>SUM(J16:J31)</f>
        <v>21179.121000000003</v>
      </c>
      <c r="K13" s="88">
        <f>SUM(K16:K31)</f>
        <v>21225.52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161</v>
      </c>
      <c r="N14" s="3">
        <v>450</v>
      </c>
      <c r="O14" s="39">
        <v>46063</v>
      </c>
      <c r="P14" s="31" t="s">
        <v>25</v>
      </c>
      <c r="Q14" s="31" t="s">
        <v>5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31" t="s">
        <v>162</v>
      </c>
      <c r="N15" s="3">
        <v>1485.11</v>
      </c>
      <c r="O15" s="39">
        <v>46069</v>
      </c>
      <c r="P15" s="31" t="s">
        <v>25</v>
      </c>
      <c r="Q15" s="31" t="s">
        <v>30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 t="s">
        <v>31</v>
      </c>
      <c r="C16" s="76" t="s">
        <v>80</v>
      </c>
      <c r="D16" s="3">
        <v>437</v>
      </c>
      <c r="E16" s="3">
        <v>437</v>
      </c>
      <c r="F16"/>
      <c r="G16" s="31" t="s">
        <v>32</v>
      </c>
      <c r="H16" s="31" t="s">
        <v>75</v>
      </c>
      <c r="I16" s="32" t="s">
        <v>68</v>
      </c>
      <c r="J16" s="3">
        <v>3540.66</v>
      </c>
      <c r="K16" s="3">
        <v>3540.66</v>
      </c>
      <c r="M16" t="s">
        <v>179</v>
      </c>
      <c r="N16" s="12">
        <v>200</v>
      </c>
      <c r="O16" s="39">
        <v>46063</v>
      </c>
      <c r="P16" s="1" t="s">
        <v>25</v>
      </c>
      <c r="Q16" s="1" t="s">
        <v>30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 t="s">
        <v>90</v>
      </c>
      <c r="C17" s="76" t="s">
        <v>87</v>
      </c>
      <c r="D17" s="86">
        <v>158.94999999999999</v>
      </c>
      <c r="E17" s="3">
        <v>158.94999999999999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>
        <v>50</v>
      </c>
      <c r="M17" t="s">
        <v>180</v>
      </c>
      <c r="N17" s="12">
        <v>167</v>
      </c>
      <c r="O17" s="39">
        <v>46063</v>
      </c>
      <c r="P17" s="1" t="s">
        <v>25</v>
      </c>
      <c r="Q17" s="1" t="s">
        <v>30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 t="s">
        <v>118</v>
      </c>
      <c r="C18" s="32" t="s">
        <v>104</v>
      </c>
      <c r="D18" s="86">
        <f>SUM(V6:V21)</f>
        <v>423.77</v>
      </c>
      <c r="E18" s="3">
        <v>423.77</v>
      </c>
      <c r="F18"/>
      <c r="G18" s="31" t="s">
        <v>84</v>
      </c>
      <c r="H18" s="31" t="s">
        <v>26</v>
      </c>
      <c r="I18" s="32" t="s">
        <v>53</v>
      </c>
      <c r="J18" s="3">
        <f>SUM(N9:R9)</f>
        <v>2413.6999999999998</v>
      </c>
      <c r="K18" s="3">
        <v>2414.6999999999998</v>
      </c>
      <c r="M18" t="s">
        <v>176</v>
      </c>
      <c r="N18" s="121">
        <v>740.73</v>
      </c>
      <c r="O18" s="122">
        <v>46063</v>
      </c>
      <c r="P18" s="10" t="s">
        <v>128</v>
      </c>
      <c r="Q18" s="10" t="s">
        <v>98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 t="s">
        <v>30</v>
      </c>
      <c r="C19" s="76" t="s">
        <v>55</v>
      </c>
      <c r="D19" s="12">
        <v>1088.3599999999999</v>
      </c>
      <c r="E19" s="3">
        <v>1088.3599999999999</v>
      </c>
      <c r="F19"/>
      <c r="G19" s="31" t="s">
        <v>84</v>
      </c>
      <c r="H19" s="31" t="s">
        <v>128</v>
      </c>
      <c r="I19" s="32" t="s">
        <v>53</v>
      </c>
      <c r="J19" s="3">
        <f>SUM(N10:R10)</f>
        <v>740.73</v>
      </c>
      <c r="K19" s="3">
        <v>740.73</v>
      </c>
      <c r="M19" s="31" t="s">
        <v>163</v>
      </c>
      <c r="N19" s="3">
        <v>36</v>
      </c>
      <c r="O19" s="39">
        <v>46060</v>
      </c>
      <c r="P19" s="31" t="s">
        <v>26</v>
      </c>
      <c r="Q19" s="31" t="s">
        <v>5</v>
      </c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 t="s">
        <v>5</v>
      </c>
      <c r="C20" s="76" t="s">
        <v>55</v>
      </c>
      <c r="D20" s="12">
        <v>7974.2</v>
      </c>
      <c r="E20" s="86">
        <v>7974.2</v>
      </c>
      <c r="F20"/>
      <c r="G20" s="31" t="s">
        <v>84</v>
      </c>
      <c r="H20" s="31" t="s">
        <v>25</v>
      </c>
      <c r="I20" s="32" t="s">
        <v>53</v>
      </c>
      <c r="J20" s="3">
        <f>SUM(N8:R8)</f>
        <v>2302.1099999999997</v>
      </c>
      <c r="K20" s="3">
        <v>2562</v>
      </c>
      <c r="M20" s="31" t="s">
        <v>164</v>
      </c>
      <c r="N20" s="3">
        <v>25</v>
      </c>
      <c r="O20" s="39">
        <v>46060</v>
      </c>
      <c r="P20" s="31" t="s">
        <v>26</v>
      </c>
      <c r="Q20" s="31" t="s">
        <v>5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 t="s">
        <v>52</v>
      </c>
      <c r="C21" s="76" t="s">
        <v>55</v>
      </c>
      <c r="D21" s="12">
        <v>667.2</v>
      </c>
      <c r="E21" s="86">
        <v>667.2</v>
      </c>
      <c r="F21"/>
      <c r="G21" s="31" t="s">
        <v>118</v>
      </c>
      <c r="H21" s="31" t="s">
        <v>89</v>
      </c>
      <c r="I21" s="32" t="s">
        <v>104</v>
      </c>
      <c r="J21" s="86">
        <f>Y11</f>
        <v>184.10100000000003</v>
      </c>
      <c r="K21" s="86">
        <v>184.1</v>
      </c>
      <c r="M21" s="31" t="s">
        <v>165</v>
      </c>
      <c r="N21" s="3">
        <v>40</v>
      </c>
      <c r="O21" s="39">
        <v>46060</v>
      </c>
      <c r="P21" s="31" t="s">
        <v>26</v>
      </c>
      <c r="Q21" s="31" t="s">
        <v>5</v>
      </c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 t="s">
        <v>98</v>
      </c>
      <c r="C22" s="76" t="s">
        <v>55</v>
      </c>
      <c r="D22" s="12">
        <v>3118.05</v>
      </c>
      <c r="E22" s="86">
        <v>3118.05</v>
      </c>
      <c r="F22"/>
      <c r="G22" s="31" t="s">
        <v>84</v>
      </c>
      <c r="H22" s="31" t="s">
        <v>66</v>
      </c>
      <c r="I22" s="32" t="s">
        <v>53</v>
      </c>
      <c r="J22" s="86">
        <f>SUM(N11:R11)</f>
        <v>618.9</v>
      </c>
      <c r="K22" s="86">
        <v>620.6</v>
      </c>
      <c r="M22" s="31" t="s">
        <v>166</v>
      </c>
      <c r="N22" s="3">
        <v>35</v>
      </c>
      <c r="O22" s="39">
        <v>46060</v>
      </c>
      <c r="P22" s="31" t="s">
        <v>26</v>
      </c>
      <c r="Q22" s="31" t="s">
        <v>5</v>
      </c>
      <c r="T22" s="90"/>
      <c r="U22" s="92" t="s">
        <v>115</v>
      </c>
      <c r="V22" s="91">
        <f>SUM(V5:V21)</f>
        <v>613.67000000000007</v>
      </c>
      <c r="W22" s="91">
        <f>SUM(W5:W21)-V22</f>
        <v>-613.67000000000007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1" t="s">
        <v>102</v>
      </c>
      <c r="C23" s="34" t="s">
        <v>102</v>
      </c>
      <c r="D23" s="86">
        <v>1485.11</v>
      </c>
      <c r="E23" s="3">
        <v>1485.11</v>
      </c>
      <c r="F23"/>
      <c r="G23" s="31" t="s">
        <v>177</v>
      </c>
      <c r="H23" s="31" t="s">
        <v>178</v>
      </c>
      <c r="I23" s="32" t="s">
        <v>68</v>
      </c>
      <c r="J23" s="86">
        <v>1122.8499999999999</v>
      </c>
      <c r="K23" s="86">
        <v>1122.8499999999999</v>
      </c>
      <c r="M23" s="84" t="s">
        <v>167</v>
      </c>
      <c r="N23" s="12">
        <v>40</v>
      </c>
      <c r="O23" s="39">
        <v>46060</v>
      </c>
      <c r="P23" s="84" t="s">
        <v>26</v>
      </c>
      <c r="Q23" s="84" t="s">
        <v>5</v>
      </c>
    </row>
    <row r="24" spans="2:29" ht="15" customHeight="1" x14ac:dyDescent="0.25">
      <c r="B24" s="84" t="s">
        <v>62</v>
      </c>
      <c r="C24" s="85" t="s">
        <v>66</v>
      </c>
      <c r="D24" s="86">
        <v>3.2</v>
      </c>
      <c r="E24" s="86">
        <f>Tabela32313161922252831373634[[#This Row],[PREVISTO]]</f>
        <v>3.2</v>
      </c>
      <c r="F24"/>
      <c r="G24" s="31" t="s">
        <v>181</v>
      </c>
      <c r="H24" s="31" t="s">
        <v>75</v>
      </c>
      <c r="I24" s="32" t="s">
        <v>68</v>
      </c>
      <c r="J24" s="3">
        <v>2200</v>
      </c>
      <c r="K24" s="3">
        <v>2243.81</v>
      </c>
      <c r="M24" s="84" t="s">
        <v>170</v>
      </c>
      <c r="N24" s="12">
        <v>106</v>
      </c>
      <c r="O24" s="39">
        <v>46060</v>
      </c>
      <c r="P24" s="84" t="s">
        <v>26</v>
      </c>
      <c r="Q24" s="84" t="s">
        <v>5</v>
      </c>
    </row>
    <row r="25" spans="2:29" ht="15" customHeight="1" x14ac:dyDescent="0.25">
      <c r="B25" s="84" t="s">
        <v>188</v>
      </c>
      <c r="C25" s="85" t="s">
        <v>192</v>
      </c>
      <c r="D25" s="3">
        <v>811.35</v>
      </c>
      <c r="E25" s="86">
        <v>811.35</v>
      </c>
      <c r="F25"/>
      <c r="G25" s="31" t="s">
        <v>35</v>
      </c>
      <c r="H25" s="31" t="s">
        <v>85</v>
      </c>
      <c r="I25" s="32" t="s">
        <v>82</v>
      </c>
      <c r="J25" s="3">
        <v>350</v>
      </c>
      <c r="K25" s="3">
        <f>Tabela591114172023262932384042[[#This Row],[PREVISTO]]</f>
        <v>350</v>
      </c>
      <c r="M25" s="84" t="s">
        <v>168</v>
      </c>
      <c r="N25" s="12">
        <v>120</v>
      </c>
      <c r="O25" s="39">
        <v>46060</v>
      </c>
      <c r="P25" s="84" t="s">
        <v>26</v>
      </c>
      <c r="Q25" s="84" t="s">
        <v>5</v>
      </c>
    </row>
    <row r="26" spans="2:29" ht="15" customHeight="1" x14ac:dyDescent="0.25">
      <c r="B26" s="84" t="s">
        <v>136</v>
      </c>
      <c r="C26" s="85" t="s">
        <v>193</v>
      </c>
      <c r="D26" s="3">
        <v>680</v>
      </c>
      <c r="E26" s="3">
        <v>680</v>
      </c>
      <c r="F26"/>
      <c r="G26" s="31" t="s">
        <v>182</v>
      </c>
      <c r="H26" s="31" t="s">
        <v>76</v>
      </c>
      <c r="I26" s="32" t="s">
        <v>82</v>
      </c>
      <c r="J26" s="3">
        <v>344</v>
      </c>
      <c r="K26" s="3">
        <v>344</v>
      </c>
      <c r="M26" s="1" t="s">
        <v>169</v>
      </c>
      <c r="N26" s="12">
        <v>25</v>
      </c>
      <c r="O26" s="39">
        <v>46060</v>
      </c>
      <c r="P26" s="1" t="s">
        <v>26</v>
      </c>
      <c r="Q26" s="1" t="s">
        <v>5</v>
      </c>
    </row>
    <row r="27" spans="2:29" ht="15" customHeight="1" x14ac:dyDescent="0.25">
      <c r="B27" s="1" t="s">
        <v>186</v>
      </c>
      <c r="C27" s="34" t="s">
        <v>187</v>
      </c>
      <c r="D27" s="3">
        <v>20</v>
      </c>
      <c r="E27" s="3">
        <v>20</v>
      </c>
      <c r="F27"/>
      <c r="G27" s="31" t="s">
        <v>183</v>
      </c>
      <c r="H27" s="31" t="s">
        <v>75</v>
      </c>
      <c r="I27" s="32" t="s">
        <v>68</v>
      </c>
      <c r="J27" s="3">
        <v>4720.8900000000003</v>
      </c>
      <c r="K27" s="3">
        <v>4720.8900000000003</v>
      </c>
      <c r="M27" t="s">
        <v>174</v>
      </c>
      <c r="N27" s="12">
        <v>165</v>
      </c>
      <c r="O27" s="39">
        <v>46060</v>
      </c>
      <c r="P27" s="1" t="s">
        <v>26</v>
      </c>
      <c r="Q27" s="1" t="s">
        <v>30</v>
      </c>
    </row>
    <row r="28" spans="2:29" ht="15" customHeight="1" x14ac:dyDescent="0.25">
      <c r="B28" t="s">
        <v>189</v>
      </c>
      <c r="C28" s="30" t="s">
        <v>192</v>
      </c>
      <c r="D28" s="3">
        <v>144.63</v>
      </c>
      <c r="E28" s="3">
        <v>144.63</v>
      </c>
      <c r="F28"/>
      <c r="G28" s="31" t="s">
        <v>136</v>
      </c>
      <c r="H28" s="31" t="s">
        <v>89</v>
      </c>
      <c r="I28" s="32" t="s">
        <v>104</v>
      </c>
      <c r="J28" s="3">
        <v>340</v>
      </c>
      <c r="K28" s="3">
        <v>80</v>
      </c>
      <c r="M28" t="s">
        <v>175</v>
      </c>
      <c r="N28" s="12">
        <v>59.63</v>
      </c>
      <c r="O28" s="39">
        <v>46060</v>
      </c>
      <c r="P28" s="1" t="s">
        <v>26</v>
      </c>
      <c r="Q28" s="1" t="s">
        <v>30</v>
      </c>
    </row>
    <row r="29" spans="2:29" ht="15" customHeight="1" x14ac:dyDescent="0.25">
      <c r="B29" s="31" t="s">
        <v>191</v>
      </c>
      <c r="C29" s="32" t="s">
        <v>194</v>
      </c>
      <c r="D29" s="86">
        <v>235.32</v>
      </c>
      <c r="E29" s="86">
        <f>Tabela32313161922252831373634[[#This Row],[PREVISTO]]</f>
        <v>235.32</v>
      </c>
      <c r="F29"/>
      <c r="G29" s="31" t="s">
        <v>185</v>
      </c>
      <c r="H29" s="31" t="s">
        <v>30</v>
      </c>
      <c r="I29" s="32" t="s">
        <v>95</v>
      </c>
      <c r="J29" s="3">
        <v>689.18</v>
      </c>
      <c r="K29" s="3">
        <f>Tabela591114172023262932384042[[#This Row],[PREVISTO]]</f>
        <v>689.18</v>
      </c>
      <c r="M29" s="1" t="s">
        <v>171</v>
      </c>
      <c r="N29" s="12">
        <v>103.15</v>
      </c>
      <c r="O29" s="39">
        <v>46060</v>
      </c>
      <c r="P29" s="1" t="s">
        <v>66</v>
      </c>
      <c r="Q29" s="1" t="s">
        <v>5</v>
      </c>
    </row>
    <row r="30" spans="2:29" s="10" customFormat="1" ht="15" customHeight="1" x14ac:dyDescent="0.25">
      <c r="B30"/>
      <c r="C30" s="30"/>
      <c r="D30" s="86"/>
      <c r="E30" s="86"/>
      <c r="F30"/>
      <c r="G30" s="31" t="s">
        <v>190</v>
      </c>
      <c r="H30" s="31" t="s">
        <v>25</v>
      </c>
      <c r="I30" s="32" t="s">
        <v>104</v>
      </c>
      <c r="J30" s="3">
        <v>1562</v>
      </c>
      <c r="K30" s="3">
        <v>1562</v>
      </c>
      <c r="M30" t="s">
        <v>172</v>
      </c>
      <c r="N30" s="12">
        <v>206.3</v>
      </c>
      <c r="O30" s="39">
        <v>46060</v>
      </c>
      <c r="P30" s="1" t="s">
        <v>66</v>
      </c>
      <c r="Q30" s="1" t="s">
        <v>5</v>
      </c>
    </row>
    <row r="31" spans="2:29" ht="15" customHeight="1" x14ac:dyDescent="0.25">
      <c r="B31" s="31"/>
      <c r="C31" s="32"/>
      <c r="D31" s="3"/>
      <c r="E31" s="3"/>
      <c r="F31"/>
      <c r="G31" s="31"/>
      <c r="H31" s="31"/>
      <c r="I31" s="32"/>
      <c r="J31" s="3"/>
      <c r="K31" s="3"/>
      <c r="M31" t="s">
        <v>173</v>
      </c>
      <c r="N31" s="12">
        <v>206.3</v>
      </c>
      <c r="O31" s="39">
        <v>46060</v>
      </c>
      <c r="P31" s="1" t="s">
        <v>66</v>
      </c>
      <c r="Q31" s="1" t="s">
        <v>5</v>
      </c>
    </row>
    <row r="32" spans="2:29" ht="15" customHeight="1" x14ac:dyDescent="0.25">
      <c r="B32"/>
      <c r="C32" s="30"/>
      <c r="D32" s="3"/>
      <c r="E32" s="3"/>
      <c r="F32"/>
      <c r="G32"/>
      <c r="H32"/>
      <c r="I32" s="30"/>
      <c r="J32" s="86"/>
      <c r="K32" s="86"/>
      <c r="M32" t="s">
        <v>89</v>
      </c>
      <c r="N32" s="12">
        <v>103.15</v>
      </c>
      <c r="O32" s="39">
        <v>46060</v>
      </c>
      <c r="P32" s="1" t="s">
        <v>66</v>
      </c>
      <c r="Q32" s="1" t="s">
        <v>5</v>
      </c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 t="s">
        <v>125</v>
      </c>
      <c r="N33" s="12">
        <v>1586</v>
      </c>
      <c r="O33" s="39">
        <v>46063</v>
      </c>
      <c r="P33" s="1" t="s">
        <v>26</v>
      </c>
      <c r="Q33" s="1" t="s">
        <v>98</v>
      </c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 t="s">
        <v>184</v>
      </c>
      <c r="N34" s="12">
        <v>176.07</v>
      </c>
      <c r="O34" s="39">
        <v>46063</v>
      </c>
      <c r="P34" s="1" t="s">
        <v>26</v>
      </c>
      <c r="Q34" s="1" t="s">
        <v>98</v>
      </c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  <c r="N35" s="12"/>
      <c r="O35" s="30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4">
    <mergeCell ref="B14:E14"/>
    <mergeCell ref="G14:K14"/>
    <mergeCell ref="T2:Y2"/>
    <mergeCell ref="X8:Y8"/>
    <mergeCell ref="B12:K12"/>
    <mergeCell ref="B13:C13"/>
    <mergeCell ref="G13:I13"/>
    <mergeCell ref="G8:I8"/>
    <mergeCell ref="G9:I9"/>
    <mergeCell ref="D2:E3"/>
    <mergeCell ref="B7:B8"/>
    <mergeCell ref="B3:B4"/>
    <mergeCell ref="J2:K2"/>
    <mergeCell ref="J3:K3"/>
    <mergeCell ref="J4:K4"/>
    <mergeCell ref="J5:K5"/>
    <mergeCell ref="J7:K7"/>
    <mergeCell ref="J8:K8"/>
    <mergeCell ref="J9:K9"/>
    <mergeCell ref="G2:I2"/>
    <mergeCell ref="M2:R2"/>
    <mergeCell ref="G5:I5"/>
    <mergeCell ref="G7:I7"/>
    <mergeCell ref="G3:I3"/>
  </mergeCells>
  <conditionalFormatting sqref="B3">
    <cfRule type="cellIs" dxfId="85" priority="5" operator="lessThan">
      <formula>0</formula>
    </cfRule>
    <cfRule type="cellIs" dxfId="84" priority="6" operator="greaterThan">
      <formula>0</formula>
    </cfRule>
    <cfRule type="cellIs" dxfId="83" priority="7" operator="lessThan">
      <formula>0</formula>
    </cfRule>
  </conditionalFormatting>
  <conditionalFormatting sqref="B7">
    <cfRule type="cellIs" dxfId="82" priority="3" operator="lessThan">
      <formula>0</formula>
    </cfRule>
    <cfRule type="cellIs" dxfId="81" priority="4" operator="greaterThan">
      <formula>0</formula>
    </cfRule>
  </conditionalFormatting>
  <conditionalFormatting sqref="J9:J10 I11">
    <cfRule type="cellIs" dxfId="80" priority="1" operator="greaterThan">
      <formula>0</formula>
    </cfRule>
    <cfRule type="cellIs" dxfId="79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ignoredErrors>
    <ignoredError sqref="D18" formulaRange="1"/>
  </ignoredError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1880-858C-469D-936B-A517424C4B4D}">
  <dimension ref="B1:AC43"/>
  <sheetViews>
    <sheetView showGridLines="0" zoomScale="90" zoomScaleNormal="90" workbookViewId="0">
      <selection activeCell="M18" sqref="M18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0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SUM(Fevereiro!B3,K13-E13)</f>
        <v>0</v>
      </c>
      <c r="C3" s="41"/>
      <c r="D3" s="158"/>
      <c r="E3" s="159"/>
      <c r="G3" s="152" t="s">
        <v>19</v>
      </c>
      <c r="H3" s="153"/>
      <c r="I3" s="153"/>
      <c r="J3" s="154">
        <f>SUM(J2-B3)</f>
        <v>0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2392.38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602.17000000000007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183.33</v>
      </c>
      <c r="W6" s="107"/>
      <c r="X6" s="108" t="s">
        <v>109</v>
      </c>
      <c r="Y6" s="109">
        <f>SUM(Y4-Y5)</f>
        <v>602.17000000000007</v>
      </c>
      <c r="AA6" s="90" t="s">
        <v>110</v>
      </c>
      <c r="AB6" s="90">
        <v>7003157185</v>
      </c>
    </row>
    <row r="7" spans="2:29" ht="15" customHeight="1" x14ac:dyDescent="0.25">
      <c r="B7" s="142">
        <f>SUM(J13-D13)+Fevereiro!B3</f>
        <v>-748.96900000000096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SUM(J5*15)/100</f>
        <v>0</v>
      </c>
      <c r="K7" s="147"/>
      <c r="M7" s="70" t="s">
        <v>66</v>
      </c>
      <c r="N7" s="72">
        <f>SUMIFS(Tabela41012151821242730333941436[Valor],Tabela41012151821242730333941436[Pagador],"Augusto",Tabela41012151821242730333941436[Banco],"Inter")</f>
        <v>0</v>
      </c>
      <c r="O7" s="72">
        <f>SUMIFS(Tabela41012151821242730333941436[Valor],Tabela41012151821242730333941436[Pagador],"Augusto",Tabela41012151821242730333941436[Banco],"Santander")</f>
        <v>0</v>
      </c>
      <c r="P7" s="72">
        <f>SUMIFS(Tabela41012151821242730333941436[Valor],Tabela41012151821242730333941436[Pagador],"Augusto",Tabela41012151821242730333941436[Banco],"Mercado Pago")</f>
        <v>0</v>
      </c>
      <c r="Q7" s="73">
        <f>SUMIFS(Tabela41012151821242730333941436[Valor],Tabela41012151821242730333941436[Pagador],"Augusto",Tabela41012151821242730333941436[Banco],"NuBank")</f>
        <v>0</v>
      </c>
      <c r="R7" s="73">
        <f>SUMIFS(Tabela41012151821242730333941436[Valor],Tabela41012151821242730333941436[Pagador],"Augusto",Tabela41012151821242730333941436[Banco],"PicPay")</f>
        <v>0</v>
      </c>
      <c r="T7" s="98" t="s">
        <v>97</v>
      </c>
      <c r="U7" s="99"/>
      <c r="V7" s="100">
        <v>228.94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SUMIFS(Tabela41012151821242730333941436[Valor],Tabela41012151821242730333941436[Pagador],"Anna",Tabela41012151821242730333941436[Banco],"Inter")</f>
        <v>0</v>
      </c>
      <c r="O8" s="72">
        <f>SUMIFS(Tabela41012151821242730333941436[Valor],Tabela41012151821242730333941436[Pagador],"Anna",Tabela41012151821242730333941436[Banco],"Santander")</f>
        <v>0</v>
      </c>
      <c r="P8" s="72">
        <f>SUMIFS(Tabela41012151821242730333941436[Valor],Tabela41012151821242730333941436[Pagador],"Anna",Tabela41012151821242730333941436[Banco],"Mercado Pago")</f>
        <v>1000</v>
      </c>
      <c r="Q8" s="73">
        <f>SUMIFS(Tabela41012151821242730333941436[Valor],Tabela41012151821242730333941436[Pagador],"Anna",Tabela41012151821242730333941436[Banco],"NuBank")</f>
        <v>0</v>
      </c>
      <c r="R8" s="73">
        <f>SUMIFS(Tabela41012151821242730333941436[Valor],Tabela41012151821242730333941436[Pagador],"Anna",Tabela41012151821242730333941436[Banco],"PicPay")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119" t="s">
        <v>137</v>
      </c>
      <c r="E9" s="120">
        <v>0</v>
      </c>
      <c r="G9" s="128" t="s">
        <v>17</v>
      </c>
      <c r="H9" s="129"/>
      <c r="I9" s="129"/>
      <c r="J9" s="130">
        <f>SUM(K13-E13)</f>
        <v>-4007.3999999999996</v>
      </c>
      <c r="K9" s="131"/>
      <c r="M9" s="70" t="s">
        <v>26</v>
      </c>
      <c r="N9" s="72">
        <f>SUMIFS(Tabela41012151821242730333941436[Valor],Tabela41012151821242730333941436[Pagador],"Lila",Tabela41012151821242730333941436[Banco],"Inter")</f>
        <v>35</v>
      </c>
      <c r="O9" s="72">
        <f>SUMIFS(Tabela41012151821242730333941436[Valor],Tabela41012151821242730333941436[Pagador],"Lila",Tabela41012151821242730333941436[Banco],"Santander")</f>
        <v>0</v>
      </c>
      <c r="P9" s="72">
        <f>SUMIFS(Tabela41012151821242730333941436[Valor],Tabela41012151821242730333941436[Pagador],"Lila",Tabela41012151821242730333941436[Banco],"Mercado Pago")</f>
        <v>165</v>
      </c>
      <c r="Q9" s="73">
        <f>SUMIFS(Tabela41012151821242730333941436[Valor],Tabela41012151821242730333941436[Pagador],"Lila",Tabela41012151821242730333941436[Banco],"NuBank")</f>
        <v>0</v>
      </c>
      <c r="R9" s="73">
        <f>SUMIFS(Tabela41012151821242730333941436[Valor],Tabela41012151821242730333941436[Pagador],"Lila",Tabela41012151821242730333941436[Banco],"PicPay")</f>
        <v>418.51</v>
      </c>
      <c r="T9" s="98"/>
      <c r="U9" s="99"/>
      <c r="V9" s="100"/>
      <c r="W9" s="101"/>
      <c r="X9" s="112" t="s">
        <v>24</v>
      </c>
      <c r="Y9" s="110">
        <f>((Y4*70)/100)+Y18</f>
        <v>421.51900000000006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128</v>
      </c>
      <c r="N10" s="72">
        <f>SUMIFS(Tabela41012151821242730333941436[Valor],Tabela41012151821242730333941436[Pagador],"Claudio",Tabela41012151821242730333941436[Banco],"Inter")</f>
        <v>0</v>
      </c>
      <c r="O10" s="72">
        <f>SUMIFS(Tabela41012151821242730333941436[Valor],Tabela41012151821242730333941436[Pagador],"Claudio",Tabela41012151821242730333941436[Banco],"Santander")</f>
        <v>0</v>
      </c>
      <c r="P10" s="72">
        <f>SUMIFS(Tabela41012151821242730333941436[Valor],Tabela41012151821242730333941436[Pagador],"Claudio",Tabela41012151821242730333941436[Banco],"Mercado Pago")</f>
        <v>0</v>
      </c>
      <c r="Q10" s="73">
        <f>SUMIFS(Tabela41012151821242730333941436[Valor],Tabela41012151821242730333941436[Pagador],"Claudio",Tabela41012151821242730333941436[Banco],"NuBank")</f>
        <v>0</v>
      </c>
      <c r="R10" s="73">
        <f>SUMIFS(Tabela41012151821242730333941436[Valor],Tabela41012151821242730333941436[Pagador],"Claudio",Tabela41012151821242730333941436[Banco],"PicPay")</f>
        <v>154.97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SUMIFS(Tabela41012151821242730333941436[Valor],Tabela41012151821242730333941436[Pagador],"Outros",Tabela41012151821242730333941436[Banco],"Inter")</f>
        <v>618.9</v>
      </c>
      <c r="O11" s="74">
        <f>SUMIFS(Tabela41012151821242730333941436[Valor],Tabela41012151821242730333941436[Pagador],"Outros",Tabela41012151821242730333941436[Banco],"Santander")</f>
        <v>0</v>
      </c>
      <c r="P11" s="74">
        <f>SUMIFS(Tabela41012151821242730333941436[Valor],Tabela41012151821242730333941436[Pagador],"Outros",Tabela41012151821242730333941436[Banco],"Mercado Pago")</f>
        <v>0</v>
      </c>
      <c r="Q11" s="75">
        <f>SUMIFS(Tabela41012151821242730333941436[Valor],Tabela41012151821242730333941436[Pagador],"Outros",Tabela41012151821242730333941436[Banco],"NuBank")</f>
        <v>0</v>
      </c>
      <c r="R11" s="75">
        <f>SUMIFS(Tabela41012151821242730333941436[Valor],Tabela41012151821242730333941436[Pagador],"Outros",Tabela41012151821242730333941436[Banco],"PicPay")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180.65100000000001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">
      <c r="B13" s="133" t="s">
        <v>8</v>
      </c>
      <c r="C13" s="133"/>
      <c r="D13" s="88">
        <f>SUM(D16:D32)</f>
        <v>15813.099999999999</v>
      </c>
      <c r="E13" s="88">
        <f>SUM(E16:E32)</f>
        <v>15016.619999999999</v>
      </c>
      <c r="F13" s="77"/>
      <c r="G13" s="134" t="s">
        <v>8</v>
      </c>
      <c r="H13" s="134"/>
      <c r="I13" s="134"/>
      <c r="J13" s="88">
        <f>SUM(J16:J31)</f>
        <v>11056.731</v>
      </c>
      <c r="K13" s="88">
        <f>SUM(K16:K31)</f>
        <v>11009.22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102</v>
      </c>
      <c r="N14" s="3">
        <v>1000</v>
      </c>
      <c r="O14" s="39">
        <v>46097</v>
      </c>
      <c r="P14" s="31" t="s">
        <v>25</v>
      </c>
      <c r="Q14" s="31" t="s">
        <v>30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31" t="s">
        <v>197</v>
      </c>
      <c r="N15" s="3">
        <v>154.97</v>
      </c>
      <c r="O15" s="39">
        <v>46375</v>
      </c>
      <c r="P15" s="31" t="s">
        <v>128</v>
      </c>
      <c r="Q15" s="31" t="s">
        <v>98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 t="s">
        <v>31</v>
      </c>
      <c r="C16" s="76" t="s">
        <v>80</v>
      </c>
      <c r="D16" s="3">
        <v>468</v>
      </c>
      <c r="E16" s="3">
        <v>468</v>
      </c>
      <c r="F16"/>
      <c r="G16" s="31" t="s">
        <v>32</v>
      </c>
      <c r="H16" s="31" t="s">
        <v>75</v>
      </c>
      <c r="I16" s="32" t="s">
        <v>68</v>
      </c>
      <c r="J16" s="3">
        <v>0</v>
      </c>
      <c r="K16" s="3"/>
      <c r="M16" s="31" t="s">
        <v>175</v>
      </c>
      <c r="N16" s="3">
        <v>35</v>
      </c>
      <c r="O16" s="39">
        <v>46024</v>
      </c>
      <c r="P16" s="31" t="s">
        <v>26</v>
      </c>
      <c r="Q16" s="31" t="s">
        <v>5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 t="s">
        <v>90</v>
      </c>
      <c r="C17" s="76" t="s">
        <v>87</v>
      </c>
      <c r="D17" s="86">
        <v>174.96</v>
      </c>
      <c r="E17" s="3">
        <v>174.96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/>
      <c r="M17" t="s">
        <v>199</v>
      </c>
      <c r="N17" s="12">
        <v>100</v>
      </c>
      <c r="O17" s="39">
        <v>46083</v>
      </c>
      <c r="P17" s="1" t="s">
        <v>26</v>
      </c>
      <c r="Q17" s="1" t="s">
        <v>98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 t="s">
        <v>118</v>
      </c>
      <c r="C18" s="32" t="s">
        <v>104</v>
      </c>
      <c r="D18" s="86">
        <f>SUM(V6:V21)</f>
        <v>412.27</v>
      </c>
      <c r="E18" s="3"/>
      <c r="F18"/>
      <c r="G18" s="31" t="s">
        <v>84</v>
      </c>
      <c r="H18" s="31" t="s">
        <v>26</v>
      </c>
      <c r="I18" s="32" t="s">
        <v>53</v>
      </c>
      <c r="J18" s="3">
        <f>SUM(N9:R9)</f>
        <v>618.51</v>
      </c>
      <c r="K18" s="3">
        <v>621</v>
      </c>
      <c r="M18" t="s">
        <v>200</v>
      </c>
      <c r="N18" s="12">
        <v>176.07</v>
      </c>
      <c r="O18" s="39">
        <v>46048</v>
      </c>
      <c r="P18" s="1" t="s">
        <v>26</v>
      </c>
      <c r="Q18" s="1" t="s">
        <v>133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 t="s">
        <v>30</v>
      </c>
      <c r="C19" s="76" t="s">
        <v>55</v>
      </c>
      <c r="D19" s="12">
        <v>917.55</v>
      </c>
      <c r="E19" s="3">
        <v>917.55</v>
      </c>
      <c r="F19"/>
      <c r="G19" s="31" t="s">
        <v>84</v>
      </c>
      <c r="H19" s="31" t="s">
        <v>128</v>
      </c>
      <c r="I19" s="32" t="s">
        <v>53</v>
      </c>
      <c r="J19" s="3">
        <f>SUM(N10:R10)</f>
        <v>154.97</v>
      </c>
      <c r="K19" s="3">
        <v>154.97</v>
      </c>
      <c r="M19" t="s">
        <v>198</v>
      </c>
      <c r="N19" s="121">
        <v>142.44</v>
      </c>
      <c r="O19" s="122">
        <v>46064</v>
      </c>
      <c r="P19" s="10" t="s">
        <v>26</v>
      </c>
      <c r="Q19" s="10" t="s">
        <v>98</v>
      </c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 t="s">
        <v>5</v>
      </c>
      <c r="C20" s="76" t="s">
        <v>55</v>
      </c>
      <c r="D20" s="12">
        <v>4265.29</v>
      </c>
      <c r="E20" s="86">
        <v>4265.29</v>
      </c>
      <c r="F20"/>
      <c r="G20" s="31" t="s">
        <v>84</v>
      </c>
      <c r="H20" s="31" t="s">
        <v>25</v>
      </c>
      <c r="I20" s="32" t="s">
        <v>53</v>
      </c>
      <c r="J20" s="3">
        <f>SUM(N8:R8)</f>
        <v>1000</v>
      </c>
      <c r="K20" s="3">
        <v>1000</v>
      </c>
      <c r="M20" s="31" t="s">
        <v>201</v>
      </c>
      <c r="N20" s="3">
        <v>165</v>
      </c>
      <c r="O20" s="39">
        <v>46385</v>
      </c>
      <c r="P20" s="31" t="s">
        <v>26</v>
      </c>
      <c r="Q20" s="31" t="s">
        <v>30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 t="s">
        <v>52</v>
      </c>
      <c r="C21" s="76" t="s">
        <v>55</v>
      </c>
      <c r="D21" s="12">
        <v>617.20000000000005</v>
      </c>
      <c r="E21" s="86">
        <v>617.20000000000005</v>
      </c>
      <c r="F21"/>
      <c r="G21" s="31" t="s">
        <v>118</v>
      </c>
      <c r="H21" s="31" t="s">
        <v>89</v>
      </c>
      <c r="I21" s="32" t="s">
        <v>193</v>
      </c>
      <c r="J21" s="86">
        <f>Y11</f>
        <v>180.65100000000001</v>
      </c>
      <c r="K21" s="86">
        <v>180.65</v>
      </c>
      <c r="M21" s="1" t="s">
        <v>171</v>
      </c>
      <c r="N21" s="12">
        <v>103.15</v>
      </c>
      <c r="O21" s="39">
        <v>46060</v>
      </c>
      <c r="P21" s="1" t="s">
        <v>66</v>
      </c>
      <c r="Q21" s="1" t="s">
        <v>5</v>
      </c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 t="s">
        <v>98</v>
      </c>
      <c r="C22" s="76" t="s">
        <v>55</v>
      </c>
      <c r="D22" s="12">
        <v>5536.78</v>
      </c>
      <c r="E22" s="86">
        <v>5536.78</v>
      </c>
      <c r="F22"/>
      <c r="G22" s="31" t="s">
        <v>84</v>
      </c>
      <c r="H22" s="31" t="s">
        <v>66</v>
      </c>
      <c r="I22" s="32" t="s">
        <v>53</v>
      </c>
      <c r="J22" s="86">
        <f>SUM(N11:R11)</f>
        <v>618.9</v>
      </c>
      <c r="K22" s="86">
        <v>618.9</v>
      </c>
      <c r="M22" t="s">
        <v>172</v>
      </c>
      <c r="N22" s="12">
        <v>206.3</v>
      </c>
      <c r="O22" s="39">
        <v>46060</v>
      </c>
      <c r="P22" s="1" t="s">
        <v>66</v>
      </c>
      <c r="Q22" s="1" t="s">
        <v>5</v>
      </c>
      <c r="T22" s="90"/>
      <c r="U22" s="92" t="s">
        <v>115</v>
      </c>
      <c r="V22" s="91">
        <f>SUM(V5:V21)</f>
        <v>602.17000000000007</v>
      </c>
      <c r="W22" s="91">
        <f>SUM(W5:W21)-V22</f>
        <v>-602.17000000000007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1" t="s">
        <v>102</v>
      </c>
      <c r="C23" s="34" t="s">
        <v>102</v>
      </c>
      <c r="D23" s="86">
        <v>1485.11</v>
      </c>
      <c r="E23" s="3">
        <v>1485.11</v>
      </c>
      <c r="F23"/>
      <c r="G23" s="31" t="s">
        <v>195</v>
      </c>
      <c r="H23" s="31" t="s">
        <v>98</v>
      </c>
      <c r="I23" s="32" t="s">
        <v>73</v>
      </c>
      <c r="J23" s="86">
        <v>310.7</v>
      </c>
      <c r="K23" s="86">
        <f>Tabela5911141720232629323840425[[#This Row],[PREVISTO]]</f>
        <v>310.7</v>
      </c>
      <c r="M23" t="s">
        <v>173</v>
      </c>
      <c r="N23" s="12">
        <v>206.3</v>
      </c>
      <c r="O23" s="39">
        <v>46060</v>
      </c>
      <c r="P23" s="1" t="s">
        <v>66</v>
      </c>
      <c r="Q23" s="1" t="s">
        <v>5</v>
      </c>
    </row>
    <row r="24" spans="2:29" ht="15" customHeight="1" x14ac:dyDescent="0.25">
      <c r="B24" s="84" t="s">
        <v>62</v>
      </c>
      <c r="C24" s="85" t="s">
        <v>66</v>
      </c>
      <c r="D24" s="86">
        <v>244.33</v>
      </c>
      <c r="E24" s="86">
        <f>Tabela323131619222528313736344[[#This Row],[PREVISTO]]</f>
        <v>244.33</v>
      </c>
      <c r="F24"/>
      <c r="G24" s="31" t="s">
        <v>196</v>
      </c>
      <c r="H24" s="31" t="s">
        <v>35</v>
      </c>
      <c r="I24" s="32" t="s">
        <v>82</v>
      </c>
      <c r="J24" s="3">
        <v>270</v>
      </c>
      <c r="K24" s="3">
        <f>Tabela5911141720232629323840425[[#This Row],[PREVISTO]]</f>
        <v>270</v>
      </c>
      <c r="M24" t="s">
        <v>89</v>
      </c>
      <c r="N24" s="12">
        <v>103.15</v>
      </c>
      <c r="O24" s="39">
        <v>46060</v>
      </c>
      <c r="P24" s="1" t="s">
        <v>66</v>
      </c>
      <c r="Q24" s="1" t="s">
        <v>5</v>
      </c>
    </row>
    <row r="25" spans="2:29" ht="15" customHeight="1" x14ac:dyDescent="0.25">
      <c r="B25" s="84" t="s">
        <v>35</v>
      </c>
      <c r="C25" s="85" t="s">
        <v>194</v>
      </c>
      <c r="D25" s="3">
        <v>496.21</v>
      </c>
      <c r="E25" s="86">
        <v>250</v>
      </c>
      <c r="F25"/>
      <c r="G25" s="31" t="s">
        <v>202</v>
      </c>
      <c r="H25" s="31" t="s">
        <v>76</v>
      </c>
      <c r="I25" s="32" t="s">
        <v>70</v>
      </c>
      <c r="J25" s="3">
        <v>344</v>
      </c>
      <c r="K25" s="3">
        <v>344</v>
      </c>
      <c r="M25" s="84"/>
      <c r="N25" s="12"/>
      <c r="O25" s="39"/>
      <c r="P25" s="84"/>
      <c r="Q25" s="84"/>
    </row>
    <row r="26" spans="2:29" ht="15" customHeight="1" x14ac:dyDescent="0.25">
      <c r="B26" s="84" t="s">
        <v>191</v>
      </c>
      <c r="C26" s="85" t="s">
        <v>194</v>
      </c>
      <c r="D26" s="3">
        <v>138</v>
      </c>
      <c r="E26" s="3"/>
      <c r="F26"/>
      <c r="G26" s="31" t="s">
        <v>136</v>
      </c>
      <c r="H26" s="31" t="s">
        <v>89</v>
      </c>
      <c r="I26" s="32" t="s">
        <v>193</v>
      </c>
      <c r="J26" s="3">
        <v>260</v>
      </c>
      <c r="K26" s="3">
        <v>260</v>
      </c>
      <c r="M26" s="1"/>
      <c r="N26" s="12"/>
      <c r="O26" s="39"/>
    </row>
    <row r="27" spans="2:29" ht="15" customHeight="1" x14ac:dyDescent="0.25">
      <c r="B27" s="1" t="s">
        <v>120</v>
      </c>
      <c r="C27" s="34" t="s">
        <v>15</v>
      </c>
      <c r="D27" s="3">
        <v>100</v>
      </c>
      <c r="E27" s="3">
        <v>100</v>
      </c>
      <c r="F27"/>
      <c r="G27" s="31" t="s">
        <v>203</v>
      </c>
      <c r="H27" s="31" t="s">
        <v>204</v>
      </c>
      <c r="I27" s="32" t="s">
        <v>70</v>
      </c>
      <c r="J27" s="3">
        <v>6900</v>
      </c>
      <c r="K27" s="3">
        <v>6900</v>
      </c>
      <c r="M27"/>
      <c r="N27" s="12"/>
      <c r="O27" s="39"/>
    </row>
    <row r="28" spans="2:29" ht="15" customHeight="1" x14ac:dyDescent="0.25">
      <c r="B28" t="s">
        <v>205</v>
      </c>
      <c r="C28" s="30" t="s">
        <v>69</v>
      </c>
      <c r="D28" s="3">
        <v>161.66999999999999</v>
      </c>
      <c r="E28" s="3">
        <v>161.66999999999999</v>
      </c>
      <c r="F28"/>
      <c r="G28" s="31" t="s">
        <v>206</v>
      </c>
      <c r="H28" s="31" t="s">
        <v>76</v>
      </c>
      <c r="I28" s="32" t="s">
        <v>70</v>
      </c>
      <c r="J28" s="3">
        <v>179</v>
      </c>
      <c r="K28" s="3">
        <v>179</v>
      </c>
      <c r="M28"/>
      <c r="N28" s="12"/>
      <c r="O28" s="39"/>
    </row>
    <row r="29" spans="2:29" ht="15" customHeight="1" x14ac:dyDescent="0.25">
      <c r="B29" s="31" t="s">
        <v>186</v>
      </c>
      <c r="C29" s="32" t="s">
        <v>187</v>
      </c>
      <c r="D29" s="86">
        <v>20</v>
      </c>
      <c r="E29" s="86">
        <v>20</v>
      </c>
      <c r="F29"/>
      <c r="G29" s="31" t="s">
        <v>205</v>
      </c>
      <c r="H29" s="31" t="s">
        <v>27</v>
      </c>
      <c r="I29" s="32" t="s">
        <v>88</v>
      </c>
      <c r="J29" s="3">
        <v>170</v>
      </c>
      <c r="K29" s="3">
        <v>170</v>
      </c>
      <c r="M29" s="1"/>
      <c r="N29" s="12"/>
      <c r="O29" s="39"/>
    </row>
    <row r="30" spans="2:29" s="10" customFormat="1" ht="15" customHeight="1" x14ac:dyDescent="0.25">
      <c r="B30" t="s">
        <v>207</v>
      </c>
      <c r="C30" s="30" t="s">
        <v>208</v>
      </c>
      <c r="D30" s="86">
        <v>775.73</v>
      </c>
      <c r="E30" s="86">
        <v>775.73</v>
      </c>
      <c r="F30"/>
      <c r="G30" s="31" t="s">
        <v>209</v>
      </c>
      <c r="H30" s="31" t="s">
        <v>35</v>
      </c>
      <c r="I30" s="32" t="s">
        <v>82</v>
      </c>
      <c r="J30" s="3"/>
      <c r="K30" s="3"/>
      <c r="M30"/>
      <c r="N30" s="12"/>
      <c r="O30" s="39"/>
      <c r="P30" s="1"/>
      <c r="Q30" s="1"/>
    </row>
    <row r="31" spans="2:29" ht="15" customHeight="1" x14ac:dyDescent="0.25">
      <c r="B31" s="31"/>
      <c r="C31" s="32"/>
      <c r="D31" s="3"/>
      <c r="E31" s="3"/>
      <c r="F31"/>
      <c r="G31" s="31"/>
      <c r="H31" s="31"/>
      <c r="I31" s="32"/>
      <c r="J31" s="3"/>
      <c r="K31" s="3"/>
      <c r="M31"/>
      <c r="N31" s="12"/>
      <c r="O31" s="39"/>
    </row>
    <row r="32" spans="2:29" ht="15" customHeight="1" x14ac:dyDescent="0.25">
      <c r="B32"/>
      <c r="C32" s="30"/>
      <c r="D32" s="3"/>
      <c r="E32" s="3"/>
      <c r="F32"/>
      <c r="G32"/>
      <c r="H32"/>
      <c r="I32" s="30"/>
      <c r="J32" s="86"/>
      <c r="K32" s="86"/>
      <c r="M32"/>
      <c r="N32" s="12"/>
      <c r="O32" s="39"/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  <c r="N33" s="12"/>
      <c r="O33" s="39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  <c r="N34" s="12"/>
      <c r="O34" s="39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  <c r="N35" s="12"/>
      <c r="O35" s="30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4">
    <mergeCell ref="B14:E14"/>
    <mergeCell ref="G14:K14"/>
    <mergeCell ref="T2:Y2"/>
    <mergeCell ref="X8:Y8"/>
    <mergeCell ref="B12:K12"/>
    <mergeCell ref="B13:C13"/>
    <mergeCell ref="G13:I13"/>
    <mergeCell ref="D2:E3"/>
    <mergeCell ref="G2:I2"/>
    <mergeCell ref="J2:K2"/>
    <mergeCell ref="M2:R2"/>
    <mergeCell ref="B3:B4"/>
    <mergeCell ref="G3:I3"/>
    <mergeCell ref="J3:K3"/>
    <mergeCell ref="J4:K4"/>
    <mergeCell ref="G5:I5"/>
    <mergeCell ref="G9:I9"/>
    <mergeCell ref="J9:K9"/>
    <mergeCell ref="J5:K5"/>
    <mergeCell ref="B7:B8"/>
    <mergeCell ref="G7:I7"/>
    <mergeCell ref="J7:K7"/>
    <mergeCell ref="G8:I8"/>
    <mergeCell ref="J8:K8"/>
  </mergeCells>
  <conditionalFormatting sqref="B3">
    <cfRule type="cellIs" dxfId="78" priority="5" operator="lessThan">
      <formula>0</formula>
    </cfRule>
    <cfRule type="cellIs" dxfId="77" priority="6" operator="greaterThan">
      <formula>0</formula>
    </cfRule>
    <cfRule type="cellIs" dxfId="76" priority="7" operator="lessThan">
      <formula>0</formula>
    </cfRule>
  </conditionalFormatting>
  <conditionalFormatting sqref="B7">
    <cfRule type="cellIs" dxfId="75" priority="3" operator="lessThan">
      <formula>0</formula>
    </cfRule>
    <cfRule type="cellIs" dxfId="74" priority="4" operator="greaterThan">
      <formula>0</formula>
    </cfRule>
  </conditionalFormatting>
  <conditionalFormatting sqref="J9:J10 I11">
    <cfRule type="cellIs" dxfId="73" priority="1" operator="greaterThan">
      <formula>0</formula>
    </cfRule>
    <cfRule type="cellIs" dxfId="72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345F-B804-47F3-96E3-0A1796F1F3F5}">
  <dimension ref="B1:AC43"/>
  <sheetViews>
    <sheetView showGridLines="0" topLeftCell="A4" zoomScale="90" zoomScaleNormal="90" workbookViewId="0">
      <selection activeCell="D29" sqref="D29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8691.41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SUM(Março!B3,K13-E13)</f>
        <v>8691.4099999999962</v>
      </c>
      <c r="C3" s="41"/>
      <c r="D3" s="158"/>
      <c r="E3" s="159"/>
      <c r="G3" s="152" t="s">
        <v>19</v>
      </c>
      <c r="H3" s="153"/>
      <c r="I3" s="153"/>
      <c r="J3" s="154">
        <f>SUM(J2-B3)</f>
        <v>3.637978807091713E-12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3077.41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545.49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2953.3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114.6</v>
      </c>
      <c r="W6" s="107"/>
      <c r="X6" s="108" t="s">
        <v>109</v>
      </c>
      <c r="Y6" s="109">
        <f>SUM(Y4-Y5)</f>
        <v>545.49</v>
      </c>
      <c r="AA6" s="90" t="s">
        <v>110</v>
      </c>
      <c r="AB6" s="90">
        <v>7003157185</v>
      </c>
    </row>
    <row r="7" spans="2:29" ht="15" customHeight="1" x14ac:dyDescent="0.25">
      <c r="B7" s="142">
        <f>SUM(J13-D13)+Março!B3</f>
        <v>8642.6369999999988</v>
      </c>
      <c r="C7" s="42"/>
      <c r="D7" s="64" t="s">
        <v>30</v>
      </c>
      <c r="E7" s="65">
        <v>8691.41</v>
      </c>
      <c r="G7" s="144" t="s">
        <v>15</v>
      </c>
      <c r="H7" s="145"/>
      <c r="I7" s="145"/>
      <c r="J7" s="146">
        <f>SUM(J5*15)/100</f>
        <v>442.995</v>
      </c>
      <c r="K7" s="147"/>
      <c r="M7" s="70" t="s">
        <v>66</v>
      </c>
      <c r="N7" s="72">
        <f>SUMIFS(Tabela4101215182124273033394143610[Valor],Tabela4101215182124273033394143610[Pagador],"Augusto",Tabela4101215182124273033394143610[Banco],"Inter")</f>
        <v>0</v>
      </c>
      <c r="O7" s="72">
        <f>SUMIFS(Tabela4101215182124273033394143610[Valor],Tabela4101215182124273033394143610[Pagador],"Augusto",Tabela4101215182124273033394143610[Banco],"Santander")</f>
        <v>0</v>
      </c>
      <c r="P7" s="72">
        <f>SUMIFS(Tabela4101215182124273033394143610[Valor],Tabela4101215182124273033394143610[Pagador],"Augusto",Tabela4101215182124273033394143610[Banco],"Mercado Pago")</f>
        <v>0</v>
      </c>
      <c r="Q7" s="73">
        <f>SUMIFS(Tabela4101215182124273033394143610[Valor],Tabela4101215182124273033394143610[Pagador],"Augusto",Tabela4101215182124273033394143610[Banco],"NuBank")</f>
        <v>0</v>
      </c>
      <c r="R7" s="73">
        <f>SUMIFS(Tabela4101215182124273033394143610[Valor],Tabela4101215182124273033394143610[Pagador],"Augusto",Tabela4101215182124273033394143610[Banco],"PicPay")</f>
        <v>0</v>
      </c>
      <c r="T7" s="98" t="s">
        <v>97</v>
      </c>
      <c r="U7" s="99"/>
      <c r="V7" s="100">
        <v>240.99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1919.645</v>
      </c>
      <c r="K8" s="151"/>
      <c r="M8" s="70" t="s">
        <v>28</v>
      </c>
      <c r="N8" s="72">
        <f>SUMIFS(Tabela4101215182124273033394143610[Valor],Tabela4101215182124273033394143610[Pagador],"Anna",Tabela4101215182124273033394143610[Banco],"Inter")</f>
        <v>0</v>
      </c>
      <c r="O8" s="72">
        <f>SUMIFS(Tabela4101215182124273033394143610[Valor],Tabela4101215182124273033394143610[Pagador],"Anna",Tabela4101215182124273033394143610[Banco],"Santander")</f>
        <v>0</v>
      </c>
      <c r="P8" s="72">
        <f>SUMIFS(Tabela4101215182124273033394143610[Valor],Tabela4101215182124273033394143610[Pagador],"Anna",Tabela4101215182124273033394143610[Banco],"Mercado Pago")</f>
        <v>1485</v>
      </c>
      <c r="Q8" s="73">
        <f>SUMIFS(Tabela4101215182124273033394143610[Valor],Tabela4101215182124273033394143610[Pagador],"Anna",Tabela4101215182124273033394143610[Banco],"NuBank")</f>
        <v>0</v>
      </c>
      <c r="R8" s="73">
        <f>SUMIFS(Tabela4101215182124273033394143610[Valor],Tabela4101215182124273033394143610[Pagador],"Anna",Tabela4101215182124273033394143610[Banco],"PicPay")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119" t="s">
        <v>137</v>
      </c>
      <c r="E9" s="120">
        <v>0</v>
      </c>
      <c r="G9" s="128" t="s">
        <v>17</v>
      </c>
      <c r="H9" s="129"/>
      <c r="I9" s="129"/>
      <c r="J9" s="130">
        <f>SUM(K13-E13)</f>
        <v>8691.4099999999962</v>
      </c>
      <c r="K9" s="131"/>
      <c r="M9" s="70" t="s">
        <v>26</v>
      </c>
      <c r="N9" s="72">
        <f>SUMIFS(Tabela4101215182124273033394143610[Valor],Tabela4101215182124273033394143610[Pagador],"Lila",Tabela4101215182124273033394143610[Banco],"Inter")</f>
        <v>0</v>
      </c>
      <c r="O9" s="72">
        <f>SUMIFS(Tabela4101215182124273033394143610[Valor],Tabela4101215182124273033394143610[Pagador],"Lila",Tabela4101215182124273033394143610[Banco],"Santander")</f>
        <v>0</v>
      </c>
      <c r="P9" s="72">
        <f>SUMIFS(Tabela4101215182124273033394143610[Valor],Tabela4101215182124273033394143610[Pagador],"Lila",Tabela4101215182124273033394143610[Banco],"Mercado Pago")</f>
        <v>165</v>
      </c>
      <c r="Q9" s="73">
        <f>SUMIFS(Tabela4101215182124273033394143610[Valor],Tabela4101215182124273033394143610[Pagador],"Lila",Tabela4101215182124273033394143610[Banco],"NuBank")</f>
        <v>0</v>
      </c>
      <c r="R9" s="73">
        <f>SUMIFS(Tabela4101215182124273033394143610[Valor],Tabela4101215182124273033394143610[Pagador],"Lila",Tabela4101215182124273033394143610[Banco],"PicPay")</f>
        <v>176.07</v>
      </c>
      <c r="T9" s="98"/>
      <c r="U9" s="99"/>
      <c r="V9" s="100"/>
      <c r="W9" s="101"/>
      <c r="X9" s="112" t="s">
        <v>24</v>
      </c>
      <c r="Y9" s="110">
        <f>((Y4*70)/100)+Y18</f>
        <v>381.84300000000002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27</v>
      </c>
      <c r="N10" s="72">
        <f>SUMIFS(Tabela4101215182124273033394143610[Valor],Tabela4101215182124273033394143610[Pagador],"Jader",Tabela4101215182124273033394143610[Banco],"Inter")</f>
        <v>190</v>
      </c>
      <c r="O10" s="72">
        <f>SUMIFS(Tabela4101215182124273033394143610[Valor],Tabela4101215182124273033394143610[Pagador],"Jader",Tabela4101215182124273033394143610[Banco],"Santander")</f>
        <v>0</v>
      </c>
      <c r="P10" s="72">
        <f>SUMIFS(Tabela4101215182124273033394143610[Valor],Tabela4101215182124273033394143610[Pagador],"Jader",Tabela4101215182124273033394143610[Banco],"Mercado Pago")</f>
        <v>0</v>
      </c>
      <c r="Q10" s="73">
        <f>SUMIFS(Tabela4101215182124273033394143610[Valor],Tabela4101215182124273033394143610[Pagador],"Jader",Tabela4101215182124273033394143610[Banco],"NuBank")</f>
        <v>0</v>
      </c>
      <c r="R10" s="73">
        <f>SUMIFS(Tabela4101215182124273033394143610[Valor],Tabela4101215182124273033394143610[Pagador],"Jader",Tabela4101215182124273033394143610[Banco],"PicPay")</f>
        <v>442.44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SUMIFS(Tabela4101215182124273033394143610[Valor],Tabela4101215182124273033394143610[Pagador],"Outros",Tabela4101215182124273033394143610[Banco],"Inter")</f>
        <v>618.9</v>
      </c>
      <c r="O11" s="74">
        <f>SUMIFS(Tabela4101215182124273033394143610[Valor],Tabela4101215182124273033394143610[Pagador],"Outros",Tabela4101215182124273033394143610[Banco],"Santander")</f>
        <v>0</v>
      </c>
      <c r="P11" s="74">
        <f>SUMIFS(Tabela4101215182124273033394143610[Valor],Tabela4101215182124273033394143610[Pagador],"Outros",Tabela4101215182124273033394143610[Banco],"Mercado Pago")</f>
        <v>0</v>
      </c>
      <c r="Q11" s="75">
        <f>SUMIFS(Tabela4101215182124273033394143610[Valor],Tabela4101215182124273033394143610[Pagador],"Outros",Tabela4101215182124273033394143610[Banco],"NuBank")</f>
        <v>0</v>
      </c>
      <c r="R11" s="75">
        <f>SUMIFS(Tabela4101215182124273033394143610[Valor],Tabela4101215182124273033394143610[Pagador],"Outros",Tabela4101215182124273033394143610[Banco],"PicPay")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163.64700000000002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">
      <c r="B13" s="133" t="s">
        <v>8</v>
      </c>
      <c r="C13" s="133"/>
      <c r="D13" s="88">
        <f>SUM(D16:D36)</f>
        <v>14447.990000000002</v>
      </c>
      <c r="E13" s="88">
        <f>SUM(E16:E36)</f>
        <v>14212.400000000001</v>
      </c>
      <c r="F13" s="77"/>
      <c r="G13" s="134" t="s">
        <v>8</v>
      </c>
      <c r="H13" s="134"/>
      <c r="I13" s="134"/>
      <c r="J13" s="88">
        <f>SUM(J16:J33)</f>
        <v>23090.627</v>
      </c>
      <c r="K13" s="88">
        <f>SUM(K16:K33)</f>
        <v>22903.809999999998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102</v>
      </c>
      <c r="N14" s="3">
        <v>1485</v>
      </c>
      <c r="O14" s="39">
        <v>46097</v>
      </c>
      <c r="P14" s="31" t="s">
        <v>25</v>
      </c>
      <c r="Q14" s="31" t="s">
        <v>30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31" t="s">
        <v>213</v>
      </c>
      <c r="N15" s="3">
        <v>154.97</v>
      </c>
      <c r="O15" s="39">
        <v>46375</v>
      </c>
      <c r="P15" s="31" t="s">
        <v>128</v>
      </c>
      <c r="Q15" s="31" t="s">
        <v>98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 t="s">
        <v>31</v>
      </c>
      <c r="C16" s="76" t="s">
        <v>80</v>
      </c>
      <c r="D16" s="3">
        <v>350</v>
      </c>
      <c r="E16" s="3">
        <v>350</v>
      </c>
      <c r="F16"/>
      <c r="G16" s="31" t="s">
        <v>32</v>
      </c>
      <c r="H16" s="31" t="s">
        <v>75</v>
      </c>
      <c r="I16" s="32" t="s">
        <v>68</v>
      </c>
      <c r="J16" s="3">
        <v>2953.3</v>
      </c>
      <c r="K16" s="3">
        <v>2953.3</v>
      </c>
      <c r="M16" t="s">
        <v>212</v>
      </c>
      <c r="N16" s="12">
        <v>176.07</v>
      </c>
      <c r="O16" s="39">
        <v>46048</v>
      </c>
      <c r="P16" s="1" t="s">
        <v>26</v>
      </c>
      <c r="Q16" s="1" t="s">
        <v>133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 t="s">
        <v>90</v>
      </c>
      <c r="C17" s="76" t="s">
        <v>87</v>
      </c>
      <c r="D17" s="86">
        <v>130.43</v>
      </c>
      <c r="E17" s="3">
        <v>130.43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>
        <v>50</v>
      </c>
      <c r="M17" t="s">
        <v>211</v>
      </c>
      <c r="N17" s="121">
        <v>142.44</v>
      </c>
      <c r="O17" s="122">
        <v>46064</v>
      </c>
      <c r="P17" s="10" t="s">
        <v>27</v>
      </c>
      <c r="Q17" s="10" t="s">
        <v>98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 t="s">
        <v>118</v>
      </c>
      <c r="C18" s="32" t="s">
        <v>104</v>
      </c>
      <c r="D18" s="86">
        <f>SUM(V6:V21)</f>
        <v>355.59000000000003</v>
      </c>
      <c r="E18" s="3">
        <v>120</v>
      </c>
      <c r="F18"/>
      <c r="G18" s="31" t="s">
        <v>84</v>
      </c>
      <c r="H18" s="31" t="s">
        <v>26</v>
      </c>
      <c r="I18" s="32" t="s">
        <v>53</v>
      </c>
      <c r="J18" s="3">
        <f>SUM(N9:R9)</f>
        <v>341.07</v>
      </c>
      <c r="K18" s="3">
        <v>342</v>
      </c>
      <c r="M18" s="31" t="s">
        <v>210</v>
      </c>
      <c r="N18" s="3">
        <v>165</v>
      </c>
      <c r="O18" s="39">
        <v>46385</v>
      </c>
      <c r="P18" s="31" t="s">
        <v>26</v>
      </c>
      <c r="Q18" s="31" t="s">
        <v>30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 t="s">
        <v>30</v>
      </c>
      <c r="C19" s="76" t="s">
        <v>55</v>
      </c>
      <c r="D19" s="12">
        <v>1356.52</v>
      </c>
      <c r="E19" s="3">
        <v>1356.52</v>
      </c>
      <c r="F19"/>
      <c r="G19" s="31" t="s">
        <v>84</v>
      </c>
      <c r="H19" s="31" t="s">
        <v>27</v>
      </c>
      <c r="I19" s="32" t="s">
        <v>53</v>
      </c>
      <c r="J19" s="3">
        <f>SUM(N10:R10)</f>
        <v>632.44000000000005</v>
      </c>
      <c r="K19" s="3">
        <v>632.44000000000005</v>
      </c>
      <c r="M19" s="1" t="s">
        <v>214</v>
      </c>
      <c r="N19" s="12">
        <v>103.15</v>
      </c>
      <c r="O19" s="39">
        <v>46060</v>
      </c>
      <c r="P19" s="1" t="s">
        <v>66</v>
      </c>
      <c r="Q19" s="1" t="s">
        <v>5</v>
      </c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 t="s">
        <v>5</v>
      </c>
      <c r="C20" s="76" t="s">
        <v>55</v>
      </c>
      <c r="D20" s="12">
        <v>3166.46</v>
      </c>
      <c r="E20" s="86">
        <v>3166.46</v>
      </c>
      <c r="F20"/>
      <c r="G20" s="31" t="s">
        <v>84</v>
      </c>
      <c r="H20" s="31" t="s">
        <v>25</v>
      </c>
      <c r="I20" s="32" t="s">
        <v>53</v>
      </c>
      <c r="J20" s="3">
        <f>SUM(N8:R8)</f>
        <v>1485</v>
      </c>
      <c r="K20" s="3">
        <v>1485</v>
      </c>
      <c r="M20" t="s">
        <v>215</v>
      </c>
      <c r="N20" s="12">
        <v>206.3</v>
      </c>
      <c r="O20" s="39">
        <v>46060</v>
      </c>
      <c r="P20" s="1" t="s">
        <v>66</v>
      </c>
      <c r="Q20" s="1" t="s">
        <v>5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 t="s">
        <v>52</v>
      </c>
      <c r="C21" s="76" t="s">
        <v>55</v>
      </c>
      <c r="D21" s="12">
        <v>517.20000000000005</v>
      </c>
      <c r="E21" s="86">
        <v>517.20000000000005</v>
      </c>
      <c r="F21"/>
      <c r="G21" s="31" t="s">
        <v>118</v>
      </c>
      <c r="H21" s="31" t="s">
        <v>89</v>
      </c>
      <c r="I21" s="32" t="s">
        <v>193</v>
      </c>
      <c r="J21" s="86">
        <f>Y11</f>
        <v>163.64700000000002</v>
      </c>
      <c r="K21" s="86">
        <v>163.65</v>
      </c>
      <c r="M21" t="s">
        <v>216</v>
      </c>
      <c r="N21" s="12">
        <v>206.3</v>
      </c>
      <c r="O21" s="39">
        <v>46060</v>
      </c>
      <c r="P21" s="1" t="s">
        <v>66</v>
      </c>
      <c r="Q21" s="1" t="s">
        <v>5</v>
      </c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 t="s">
        <v>98</v>
      </c>
      <c r="C22" s="76" t="s">
        <v>55</v>
      </c>
      <c r="D22" s="12">
        <v>3734.35</v>
      </c>
      <c r="E22" s="86">
        <v>3734.35</v>
      </c>
      <c r="F22"/>
      <c r="G22" s="31" t="s">
        <v>84</v>
      </c>
      <c r="H22" s="31" t="s">
        <v>66</v>
      </c>
      <c r="I22" s="32" t="s">
        <v>53</v>
      </c>
      <c r="J22" s="86">
        <f>SUM(N11:R11)</f>
        <v>618.9</v>
      </c>
      <c r="K22" s="86">
        <v>619.15</v>
      </c>
      <c r="M22" t="s">
        <v>217</v>
      </c>
      <c r="N22" s="12">
        <v>103.15</v>
      </c>
      <c r="O22" s="39">
        <v>46060</v>
      </c>
      <c r="P22" s="1" t="s">
        <v>66</v>
      </c>
      <c r="Q22" s="1" t="s">
        <v>5</v>
      </c>
      <c r="T22" s="90"/>
      <c r="U22" s="92" t="s">
        <v>115</v>
      </c>
      <c r="V22" s="91">
        <f>SUM(V5:V21)</f>
        <v>545.49</v>
      </c>
      <c r="W22" s="91">
        <f>SUM(W5:W21)-V22</f>
        <v>-545.49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1" t="s">
        <v>102</v>
      </c>
      <c r="C23" s="34" t="s">
        <v>102</v>
      </c>
      <c r="D23" s="86">
        <v>1485.11</v>
      </c>
      <c r="E23" s="3">
        <v>1485.11</v>
      </c>
      <c r="F23"/>
      <c r="G23" s="31" t="s">
        <v>195</v>
      </c>
      <c r="H23" s="31" t="s">
        <v>98</v>
      </c>
      <c r="I23" s="32" t="s">
        <v>73</v>
      </c>
      <c r="J23" s="86">
        <v>112.54</v>
      </c>
      <c r="K23" s="86">
        <v>112.54</v>
      </c>
      <c r="M23" s="84" t="s">
        <v>221</v>
      </c>
      <c r="N23" s="12">
        <v>190</v>
      </c>
      <c r="O23" s="39">
        <v>46093</v>
      </c>
      <c r="P23" s="84" t="s">
        <v>27</v>
      </c>
      <c r="Q23" s="84" t="s">
        <v>5</v>
      </c>
    </row>
    <row r="24" spans="2:29" ht="15" customHeight="1" x14ac:dyDescent="0.25">
      <c r="B24" s="84" t="s">
        <v>62</v>
      </c>
      <c r="C24" s="85" t="s">
        <v>66</v>
      </c>
      <c r="D24" s="86">
        <v>0</v>
      </c>
      <c r="E24" s="86">
        <f>Tabela3231316192225283137363442[[#This Row],[PREVISTO]]</f>
        <v>0</v>
      </c>
      <c r="F24"/>
      <c r="G24" s="31" t="s">
        <v>196</v>
      </c>
      <c r="H24" s="31" t="s">
        <v>75</v>
      </c>
      <c r="I24" s="32" t="s">
        <v>82</v>
      </c>
      <c r="J24" s="3">
        <v>35</v>
      </c>
      <c r="K24" s="3">
        <v>35</v>
      </c>
      <c r="M24" s="1" t="s">
        <v>222</v>
      </c>
      <c r="N24" s="12">
        <v>300</v>
      </c>
      <c r="O24" s="39">
        <v>46093</v>
      </c>
      <c r="P24" s="1" t="s">
        <v>27</v>
      </c>
      <c r="Q24" s="1" t="s">
        <v>98</v>
      </c>
    </row>
    <row r="25" spans="2:29" ht="15" customHeight="1" x14ac:dyDescent="0.25">
      <c r="B25" s="84" t="s">
        <v>220</v>
      </c>
      <c r="C25" s="85" t="s">
        <v>102</v>
      </c>
      <c r="D25" s="3">
        <v>0</v>
      </c>
      <c r="E25" s="86"/>
      <c r="F25"/>
      <c r="G25" s="31" t="s">
        <v>218</v>
      </c>
      <c r="H25" s="31" t="s">
        <v>76</v>
      </c>
      <c r="I25" s="32" t="s">
        <v>82</v>
      </c>
      <c r="J25" s="3">
        <v>288</v>
      </c>
      <c r="K25" s="3">
        <v>100</v>
      </c>
      <c r="M25"/>
      <c r="N25" s="12"/>
      <c r="O25" s="39"/>
    </row>
    <row r="26" spans="2:29" ht="15" customHeight="1" x14ac:dyDescent="0.25">
      <c r="B26" s="84" t="s">
        <v>35</v>
      </c>
      <c r="C26" s="85" t="s">
        <v>87</v>
      </c>
      <c r="D26" s="3">
        <v>224</v>
      </c>
      <c r="E26" s="3">
        <v>224</v>
      </c>
      <c r="F26"/>
      <c r="G26" s="31" t="s">
        <v>218</v>
      </c>
      <c r="H26" s="31" t="s">
        <v>219</v>
      </c>
      <c r="I26" s="32" t="s">
        <v>82</v>
      </c>
      <c r="J26" s="3">
        <v>178</v>
      </c>
      <c r="K26" s="3">
        <v>178</v>
      </c>
      <c r="M26"/>
      <c r="N26" s="12"/>
      <c r="O26" s="39"/>
    </row>
    <row r="27" spans="2:29" ht="15" customHeight="1" x14ac:dyDescent="0.25">
      <c r="B27" s="1" t="s">
        <v>224</v>
      </c>
      <c r="C27" s="34" t="s">
        <v>87</v>
      </c>
      <c r="D27" s="3">
        <v>128</v>
      </c>
      <c r="E27" s="3">
        <v>128</v>
      </c>
      <c r="F27"/>
      <c r="G27" s="31" t="s">
        <v>98</v>
      </c>
      <c r="H27" s="31" t="s">
        <v>128</v>
      </c>
      <c r="I27" s="32"/>
      <c r="J27" s="3">
        <v>154.97</v>
      </c>
      <c r="K27" s="3">
        <v>154.97</v>
      </c>
      <c r="M27" s="1"/>
      <c r="N27" s="12"/>
      <c r="O27" s="39"/>
    </row>
    <row r="28" spans="2:29" ht="15" customHeight="1" x14ac:dyDescent="0.25">
      <c r="B28" t="s">
        <v>225</v>
      </c>
      <c r="C28" s="30" t="s">
        <v>87</v>
      </c>
      <c r="D28" s="3">
        <v>43</v>
      </c>
      <c r="E28" s="3">
        <v>43</v>
      </c>
      <c r="F28"/>
      <c r="G28" s="31" t="s">
        <v>223</v>
      </c>
      <c r="H28" s="31" t="s">
        <v>25</v>
      </c>
      <c r="I28" s="32" t="s">
        <v>193</v>
      </c>
      <c r="J28" s="3">
        <v>627</v>
      </c>
      <c r="K28" s="3">
        <v>627</v>
      </c>
      <c r="M28"/>
      <c r="N28" s="12"/>
      <c r="O28" s="39"/>
    </row>
    <row r="29" spans="2:29" ht="15" customHeight="1" x14ac:dyDescent="0.25">
      <c r="B29" s="31" t="s">
        <v>226</v>
      </c>
      <c r="C29" s="32" t="s">
        <v>87</v>
      </c>
      <c r="D29" s="86">
        <v>50.6</v>
      </c>
      <c r="E29" s="86">
        <v>50.6</v>
      </c>
      <c r="F29"/>
      <c r="G29" s="31" t="s">
        <v>119</v>
      </c>
      <c r="H29" s="31" t="s">
        <v>27</v>
      </c>
      <c r="I29" s="32" t="s">
        <v>66</v>
      </c>
      <c r="J29" s="3">
        <v>2200</v>
      </c>
      <c r="K29" s="3">
        <v>2200</v>
      </c>
      <c r="M29"/>
      <c r="N29" s="12"/>
      <c r="O29" s="39"/>
    </row>
    <row r="30" spans="2:29" s="10" customFormat="1" ht="15" customHeight="1" x14ac:dyDescent="0.25">
      <c r="B30" t="s">
        <v>227</v>
      </c>
      <c r="C30" s="30" t="s">
        <v>87</v>
      </c>
      <c r="D30" s="86">
        <v>457.44</v>
      </c>
      <c r="E30" s="86">
        <v>457.44</v>
      </c>
      <c r="F30"/>
      <c r="G30" s="31" t="s">
        <v>228</v>
      </c>
      <c r="H30" s="31" t="s">
        <v>229</v>
      </c>
      <c r="I30" s="32" t="s">
        <v>66</v>
      </c>
      <c r="J30" s="3">
        <v>20</v>
      </c>
      <c r="K30" s="3">
        <v>20</v>
      </c>
      <c r="M30"/>
      <c r="N30" s="12"/>
      <c r="O30" s="39"/>
      <c r="P30" s="1"/>
      <c r="Q30" s="1"/>
    </row>
    <row r="31" spans="2:29" ht="15" customHeight="1" x14ac:dyDescent="0.25">
      <c r="B31" s="31" t="s">
        <v>228</v>
      </c>
      <c r="C31" s="32" t="s">
        <v>87</v>
      </c>
      <c r="D31" s="3">
        <v>40</v>
      </c>
      <c r="E31" s="3">
        <v>40</v>
      </c>
      <c r="F31"/>
      <c r="G31" s="31" t="s">
        <v>218</v>
      </c>
      <c r="H31" s="31" t="s">
        <v>230</v>
      </c>
      <c r="I31" s="32" t="s">
        <v>82</v>
      </c>
      <c r="J31" s="3">
        <v>95</v>
      </c>
      <c r="K31" s="3">
        <v>95</v>
      </c>
      <c r="M31"/>
      <c r="N31" s="12"/>
      <c r="O31" s="39"/>
    </row>
    <row r="32" spans="2:29" ht="15" customHeight="1" x14ac:dyDescent="0.25">
      <c r="B32" t="s">
        <v>232</v>
      </c>
      <c r="C32" s="30" t="s">
        <v>87</v>
      </c>
      <c r="D32" s="3">
        <v>103.29</v>
      </c>
      <c r="E32" s="3">
        <v>103.29</v>
      </c>
      <c r="F32"/>
      <c r="G32" t="s">
        <v>231</v>
      </c>
      <c r="H32" t="s">
        <v>5</v>
      </c>
      <c r="I32" s="30" t="s">
        <v>66</v>
      </c>
      <c r="J32" s="3">
        <v>13000.94</v>
      </c>
      <c r="K32" s="3">
        <f>Tabela59111417202326293238404259[[#This Row],[PREVISTO]]</f>
        <v>13000.94</v>
      </c>
      <c r="M32"/>
      <c r="N32" s="12"/>
      <c r="O32" s="39"/>
    </row>
    <row r="33" spans="2:18" ht="15" customHeight="1" x14ac:dyDescent="0.25">
      <c r="B33" s="31" t="s">
        <v>233</v>
      </c>
      <c r="C33" s="32" t="s">
        <v>87</v>
      </c>
      <c r="D33" s="86">
        <v>1400</v>
      </c>
      <c r="E33" s="86">
        <v>1400</v>
      </c>
      <c r="F33"/>
      <c r="G33" s="31" t="s">
        <v>235</v>
      </c>
      <c r="H33" s="31" t="s">
        <v>30</v>
      </c>
      <c r="I33" s="32" t="s">
        <v>103</v>
      </c>
      <c r="J33" s="86">
        <v>134.82</v>
      </c>
      <c r="K33" s="86">
        <f>Tabela59111417202326293238404259[[#This Row],[PREVISTO]]</f>
        <v>134.82</v>
      </c>
      <c r="M33"/>
      <c r="N33" s="12"/>
      <c r="O33" s="30"/>
    </row>
    <row r="34" spans="2:18" ht="15" customHeight="1" x14ac:dyDescent="0.25">
      <c r="B34" s="31" t="s">
        <v>234</v>
      </c>
      <c r="C34" s="32" t="s">
        <v>66</v>
      </c>
      <c r="D34" s="86">
        <v>130</v>
      </c>
      <c r="E34" s="86">
        <v>130</v>
      </c>
      <c r="F34"/>
      <c r="G34"/>
      <c r="H34"/>
      <c r="I34" s="30"/>
      <c r="J34" s="3"/>
      <c r="K34" s="3"/>
      <c r="M34"/>
    </row>
    <row r="35" spans="2:18" ht="15" customHeight="1" x14ac:dyDescent="0.25">
      <c r="B35" t="s">
        <v>236</v>
      </c>
      <c r="C35" s="30" t="s">
        <v>236</v>
      </c>
      <c r="D35" s="3">
        <v>500</v>
      </c>
      <c r="E35" s="3">
        <v>500</v>
      </c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 t="s">
        <v>244</v>
      </c>
      <c r="C36" s="32" t="s">
        <v>69</v>
      </c>
      <c r="D36" s="3">
        <v>276</v>
      </c>
      <c r="E36" s="3">
        <v>276</v>
      </c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  <c r="N40"/>
      <c r="O40" s="3"/>
      <c r="P40" s="33"/>
      <c r="Q40"/>
    </row>
    <row r="41" spans="2:18" ht="15" customHeight="1" x14ac:dyDescent="0.25">
      <c r="B41" s="84"/>
      <c r="C41" s="85"/>
      <c r="D41" s="83"/>
      <c r="E41" s="83"/>
      <c r="M41"/>
      <c r="N41" s="31"/>
      <c r="O41" s="3"/>
      <c r="P41" s="33"/>
      <c r="Q41" s="31"/>
    </row>
    <row r="42" spans="2:18" ht="15" customHeight="1" x14ac:dyDescent="0.25">
      <c r="D42" s="83"/>
      <c r="E42" s="83"/>
      <c r="R42"/>
    </row>
    <row r="43" spans="2:18" ht="15" customHeight="1" x14ac:dyDescent="0.25">
      <c r="R43" s="31"/>
    </row>
  </sheetData>
  <mergeCells count="24">
    <mergeCell ref="B14:E14"/>
    <mergeCell ref="G14:K14"/>
    <mergeCell ref="T2:Y2"/>
    <mergeCell ref="X8:Y8"/>
    <mergeCell ref="B12:K12"/>
    <mergeCell ref="B13:C13"/>
    <mergeCell ref="G13:I13"/>
    <mergeCell ref="D2:E3"/>
    <mergeCell ref="G2:I2"/>
    <mergeCell ref="J2:K2"/>
    <mergeCell ref="M2:R2"/>
    <mergeCell ref="B3:B4"/>
    <mergeCell ref="G3:I3"/>
    <mergeCell ref="J3:K3"/>
    <mergeCell ref="J4:K4"/>
    <mergeCell ref="G5:I5"/>
    <mergeCell ref="G9:I9"/>
    <mergeCell ref="J9:K9"/>
    <mergeCell ref="J5:K5"/>
    <mergeCell ref="B7:B8"/>
    <mergeCell ref="G7:I7"/>
    <mergeCell ref="J7:K7"/>
    <mergeCell ref="G8:I8"/>
    <mergeCell ref="J8:K8"/>
  </mergeCells>
  <conditionalFormatting sqref="B3">
    <cfRule type="cellIs" dxfId="71" priority="5" operator="lessThan">
      <formula>0</formula>
    </cfRule>
    <cfRule type="cellIs" dxfId="70" priority="6" operator="greaterThan">
      <formula>0</formula>
    </cfRule>
    <cfRule type="cellIs" dxfId="69" priority="7" operator="lessThan">
      <formula>0</formula>
    </cfRule>
  </conditionalFormatting>
  <conditionalFormatting sqref="B7">
    <cfRule type="cellIs" dxfId="68" priority="3" operator="lessThan">
      <formula>0</formula>
    </cfRule>
    <cfRule type="cellIs" dxfId="67" priority="4" operator="greaterThan">
      <formula>0</formula>
    </cfRule>
  </conditionalFormatting>
  <conditionalFormatting sqref="J9:J10 I11">
    <cfRule type="cellIs" dxfId="66" priority="1" operator="greaterThan">
      <formula>0</formula>
    </cfRule>
    <cfRule type="cellIs" dxfId="65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8EF-59D7-469A-AF87-4D0E917EA47F}">
  <dimension ref="B1:AB43"/>
  <sheetViews>
    <sheetView showGridLines="0" topLeftCell="A16" zoomScale="90" zoomScaleNormal="90" workbookViewId="0">
      <selection activeCell="J29" sqref="J29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4.855468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8" ht="9.9499999999999993" customHeight="1" x14ac:dyDescent="0.25"/>
    <row r="2" spans="2:28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2041.03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</row>
    <row r="3" spans="2:28" s="10" customFormat="1" ht="15" customHeight="1" x14ac:dyDescent="0.25">
      <c r="B3" s="142">
        <f>SUM(Abril!B3,K13-E13)</f>
        <v>2041.0299999999961</v>
      </c>
      <c r="C3" s="41"/>
      <c r="D3" s="158"/>
      <c r="E3" s="159"/>
      <c r="G3" s="152" t="s">
        <v>19</v>
      </c>
      <c r="H3" s="153"/>
      <c r="I3" s="153"/>
      <c r="J3" s="154">
        <f>SUM(J2-B3)</f>
        <v>3.865352482534945E-12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</row>
    <row r="4" spans="2:28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3241.31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604.61</v>
      </c>
      <c r="AA4" s="90" t="s">
        <v>107</v>
      </c>
      <c r="AB4" s="90"/>
    </row>
    <row r="5" spans="2:28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3577.98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8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148.54</v>
      </c>
      <c r="W6" s="107"/>
      <c r="X6" s="108" t="s">
        <v>109</v>
      </c>
      <c r="Y6" s="109">
        <f>SUM(Y4-Y5)</f>
        <v>604.61</v>
      </c>
      <c r="AA6" s="90" t="s">
        <v>110</v>
      </c>
      <c r="AB6" s="90">
        <v>7003157185</v>
      </c>
    </row>
    <row r="7" spans="2:28" ht="15" customHeight="1" x14ac:dyDescent="0.25">
      <c r="B7" s="142">
        <f>SUM(J13-D13)+Abril!B3</f>
        <v>3720.3429999999953</v>
      </c>
      <c r="C7" s="42"/>
      <c r="D7" s="64" t="s">
        <v>30</v>
      </c>
      <c r="E7" s="65">
        <v>2041.03</v>
      </c>
      <c r="G7" s="144" t="s">
        <v>15</v>
      </c>
      <c r="H7" s="145"/>
      <c r="I7" s="145"/>
      <c r="J7" s="146">
        <f>SUM(J5*15)/100</f>
        <v>536.697</v>
      </c>
      <c r="K7" s="147"/>
      <c r="M7" s="70" t="s">
        <v>54</v>
      </c>
      <c r="N7" s="72">
        <f>SUMIFS(Tabela41012151821242730333941436103[Valor],Tabela41012151821242730333941436103[Pagador],"Paula",Tabela41012151821242730333941436103[Banco],"Inter")</f>
        <v>0</v>
      </c>
      <c r="O7" s="72">
        <f>SUMIFS(Tabela41012151821242730333941436103[Valor],Tabela41012151821242730333941436103[Pagador],"Paula",Tabela41012151821242730333941436103[Banco],"Santander")</f>
        <v>0</v>
      </c>
      <c r="P7" s="72">
        <f>SUMIFS(Tabela41012151821242730333941436103[Valor],Tabela41012151821242730333941436103[Pagador],"Paula",Tabela41012151821242730333941436103[Banco],"Mercado Pago")</f>
        <v>0</v>
      </c>
      <c r="Q7" s="73">
        <f>SUMIFS(Tabela41012151821242730333941436103[Valor],Tabela41012151821242730333941436103[Pagador],"Paula",Tabela41012151821242730333941436103[Banco],"NuBank")</f>
        <v>0</v>
      </c>
      <c r="R7" s="73">
        <f>SUMIFS(Tabela41012151821242730333941436103[Valor],Tabela41012151821242730333941436103[Pagador],"Paula",Tabela41012151821242730333941436103[Banco],"PicPay")</f>
        <v>0</v>
      </c>
      <c r="T7" s="98" t="s">
        <v>97</v>
      </c>
      <c r="U7" s="99"/>
      <c r="V7" s="100">
        <v>266.17</v>
      </c>
      <c r="W7" s="101"/>
      <c r="X7" s="90"/>
      <c r="Y7" s="90"/>
      <c r="Z7" s="91"/>
      <c r="AA7" s="90" t="s">
        <v>111</v>
      </c>
      <c r="AB7" s="90">
        <v>3001236814</v>
      </c>
    </row>
    <row r="8" spans="2:28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2325.6869999999999</v>
      </c>
      <c r="K8" s="151"/>
      <c r="M8" s="70" t="s">
        <v>28</v>
      </c>
      <c r="N8" s="72">
        <f>SUMIFS(Tabela41012151821242730333941436103[Valor],Tabela41012151821242730333941436103[Pagador],"Anna",Tabela41012151821242730333941436103[Banco],"Inter")</f>
        <v>0</v>
      </c>
      <c r="O8" s="72">
        <f>SUMIFS(Tabela41012151821242730333941436103[Valor],Tabela41012151821242730333941436103[Pagador],"Anna",Tabela41012151821242730333941436103[Banco],"Santander")</f>
        <v>0</v>
      </c>
      <c r="P8" s="72">
        <f>SUMIFS(Tabela41012151821242730333941436103[Valor],Tabela41012151821242730333941436103[Pagador],"Anna",Tabela41012151821242730333941436103[Banco],"Mercado Pago")</f>
        <v>1928</v>
      </c>
      <c r="Q8" s="73">
        <f>SUMIFS(Tabela41012151821242730333941436103[Valor],Tabela41012151821242730333941436103[Pagador],"Anna",Tabela41012151821242730333941436103[Banco],"NuBank")</f>
        <v>0</v>
      </c>
      <c r="R8" s="73">
        <f>SUMIFS(Tabela41012151821242730333941436103[Valor],Tabela41012151821242730333941436103[Pagador],"Anna",Tabela41012151821242730333941436103[Banco],"PicPay")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8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-6650.38</v>
      </c>
      <c r="K9" s="131"/>
      <c r="M9" s="70" t="s">
        <v>26</v>
      </c>
      <c r="N9" s="72">
        <f>SUMIFS(Tabela41012151821242730333941436103[Valor],Tabela41012151821242730333941436103[Pagador],"Lila",Tabela41012151821242730333941436103[Banco],"Inter")</f>
        <v>0</v>
      </c>
      <c r="O9" s="72">
        <f>SUMIFS(Tabela41012151821242730333941436103[Valor],Tabela41012151821242730333941436103[Pagador],"Lila",Tabela41012151821242730333941436103[Banco],"Santander")</f>
        <v>0</v>
      </c>
      <c r="P9" s="72">
        <f>SUMIFS(Tabela41012151821242730333941436103[Valor],Tabela41012151821242730333941436103[Pagador],"Lila",Tabela41012151821242730333941436103[Banco],"Mercado Pago")</f>
        <v>34.4</v>
      </c>
      <c r="Q9" s="73">
        <f>SUMIFS(Tabela41012151821242730333941436103[Valor],Tabela41012151821242730333941436103[Pagador],"Lila",Tabela41012151821242730333941436103[Banco],"NuBank")</f>
        <v>0</v>
      </c>
      <c r="R9" s="73">
        <f>SUMIFS(Tabela41012151821242730333941436103[Valor],Tabela41012151821242730333941436103[Pagador],"Lila",Tabela41012151821242730333941436103[Banco],"PicPay")</f>
        <v>170.01</v>
      </c>
      <c r="T9" s="98"/>
      <c r="U9" s="99"/>
      <c r="V9" s="100"/>
      <c r="W9" s="101"/>
      <c r="X9" s="112" t="s">
        <v>24</v>
      </c>
      <c r="Y9" s="110">
        <f>((Y4*70)/100)+Y18</f>
        <v>423.22700000000003</v>
      </c>
      <c r="Z9"/>
      <c r="AA9" s="90"/>
      <c r="AB9" s="90"/>
    </row>
    <row r="10" spans="2:28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27</v>
      </c>
      <c r="N10" s="72">
        <f>SUMIFS(Tabela41012151821242730333941436103[Valor],Tabela41012151821242730333941436103[Pagador],"Jader",Tabela41012151821242730333941436103[Banco],"Inter")</f>
        <v>190</v>
      </c>
      <c r="O10" s="72">
        <f>SUMIFS(Tabela41012151821242730333941436103[Valor],Tabela41012151821242730333941436103[Pagador],"Jader",Tabela41012151821242730333941436103[Banco],"Santander")</f>
        <v>0</v>
      </c>
      <c r="P10" s="72">
        <f>SUMIFS(Tabela41012151821242730333941436103[Valor],Tabela41012151821242730333941436103[Pagador],"Jader",Tabela41012151821242730333941436103[Banco],"Mercado Pago")</f>
        <v>0</v>
      </c>
      <c r="Q10" s="73">
        <f>SUMIFS(Tabela41012151821242730333941436103[Valor],Tabela41012151821242730333941436103[Pagador],"Jader",Tabela41012151821242730333941436103[Banco],"NuBank")</f>
        <v>0</v>
      </c>
      <c r="R10" s="73">
        <f>SUMIFS(Tabela41012151821242730333941436103[Valor],Tabela41012151821242730333941436103[Pagador],"Jader",Tabela41012151821242730333941436103[Banco],"PicPay")</f>
        <v>300</v>
      </c>
      <c r="T10" s="104"/>
      <c r="U10" s="105"/>
      <c r="V10" s="106"/>
      <c r="W10" s="107"/>
      <c r="X10" s="113"/>
      <c r="Y10" s="111"/>
      <c r="AA10" s="90"/>
      <c r="AB10" s="90"/>
    </row>
    <row r="11" spans="2:28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SUMIFS(Tabela41012151821242730333941436103[Valor],Tabela41012151821242730333941436103[Pagador],"Outros",Tabela41012151821242730333941436103[Banco],"Inter")</f>
        <v>618.9</v>
      </c>
      <c r="O11" s="74">
        <f>SUMIFS(Tabela41012151821242730333941436103[Valor],Tabela41012151821242730333941436103[Pagador],"Outros",Tabela41012151821242730333941436103[Banco],"Santander")</f>
        <v>0</v>
      </c>
      <c r="P11" s="74">
        <f>SUMIFS(Tabela41012151821242730333941436103[Valor],Tabela41012151821242730333941436103[Pagador],"Outros",Tabela41012151821242730333941436103[Banco],"Mercado Pago")</f>
        <v>0</v>
      </c>
      <c r="Q11" s="75">
        <f>SUMIFS(Tabela41012151821242730333941436103[Valor],Tabela41012151821242730333941436103[Pagador],"Outros",Tabela41012151821242730333941436103[Banco],"NuBank")</f>
        <v>0</v>
      </c>
      <c r="R11" s="75">
        <f>SUMIFS(Tabela41012151821242730333941436103[Valor],Tabela41012151821242730333941436103[Pagador],"Outros",Tabela41012151821242730333941436103[Banco],"PicPay")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181.38299999999998</v>
      </c>
      <c r="Z11" s="10"/>
      <c r="AA11" s="90"/>
      <c r="AB11" s="90"/>
    </row>
    <row r="12" spans="2:28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</row>
    <row r="13" spans="2:28" ht="24.95" customHeight="1" x14ac:dyDescent="0.2">
      <c r="B13" s="133" t="s">
        <v>8</v>
      </c>
      <c r="C13" s="133"/>
      <c r="D13" s="88">
        <f>SUM(D16:D34)</f>
        <v>14323.1</v>
      </c>
      <c r="E13" s="88">
        <f>SUM(E16:E34)</f>
        <v>14323.1</v>
      </c>
      <c r="F13" s="77"/>
      <c r="G13" s="134" t="s">
        <v>8</v>
      </c>
      <c r="H13" s="134"/>
      <c r="I13" s="134"/>
      <c r="J13" s="88">
        <f>SUM(J16:J34)</f>
        <v>9352.0329999999994</v>
      </c>
      <c r="K13" s="88">
        <f>SUM(K16:K34)</f>
        <v>7672.72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</row>
    <row r="14" spans="2:28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102</v>
      </c>
      <c r="N14" s="3">
        <v>1485</v>
      </c>
      <c r="O14" s="39">
        <v>46097</v>
      </c>
      <c r="P14" s="31" t="s">
        <v>25</v>
      </c>
      <c r="Q14" s="31" t="s">
        <v>30</v>
      </c>
      <c r="T14" s="104"/>
      <c r="U14" s="105"/>
      <c r="V14" s="106"/>
      <c r="W14" s="107"/>
      <c r="X14" s="90"/>
      <c r="Y14" s="90"/>
      <c r="Z14" s="91"/>
      <c r="AA14" s="90"/>
      <c r="AB14" s="90"/>
    </row>
    <row r="15" spans="2:28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1" t="s">
        <v>240</v>
      </c>
      <c r="N15" s="12">
        <v>103.15</v>
      </c>
      <c r="O15" s="39">
        <v>46060</v>
      </c>
      <c r="P15" s="1" t="s">
        <v>66</v>
      </c>
      <c r="Q15" s="1" t="s">
        <v>5</v>
      </c>
      <c r="T15" s="98"/>
      <c r="U15" s="99"/>
      <c r="V15" s="100"/>
      <c r="W15" s="101"/>
      <c r="X15" s="90"/>
      <c r="Y15" s="90"/>
      <c r="Z15" s="91"/>
      <c r="AA15" s="90"/>
      <c r="AB15" s="90"/>
    </row>
    <row r="16" spans="2:28" ht="15" customHeight="1" x14ac:dyDescent="0.25">
      <c r="B16" s="31" t="s">
        <v>31</v>
      </c>
      <c r="C16" s="76" t="s">
        <v>80</v>
      </c>
      <c r="D16" s="3">
        <v>464.25</v>
      </c>
      <c r="E16" s="3">
        <v>464.25</v>
      </c>
      <c r="F16"/>
      <c r="G16" s="31" t="s">
        <v>32</v>
      </c>
      <c r="H16" s="31" t="s">
        <v>75</v>
      </c>
      <c r="I16" s="32" t="s">
        <v>68</v>
      </c>
      <c r="J16" s="3">
        <v>3577.98</v>
      </c>
      <c r="K16" s="3">
        <v>3577.98</v>
      </c>
      <c r="M16" t="s">
        <v>241</v>
      </c>
      <c r="N16" s="12">
        <v>206.3</v>
      </c>
      <c r="O16" s="39">
        <v>46060</v>
      </c>
      <c r="P16" s="1" t="s">
        <v>66</v>
      </c>
      <c r="Q16" s="1" t="s">
        <v>5</v>
      </c>
      <c r="T16" s="104"/>
      <c r="U16" s="105"/>
      <c r="V16" s="106"/>
      <c r="W16" s="107"/>
      <c r="X16" s="90"/>
      <c r="Y16" s="90"/>
      <c r="Z16" s="91"/>
      <c r="AA16" s="90"/>
      <c r="AB16" s="90"/>
    </row>
    <row r="17" spans="2:28" ht="15" customHeight="1" x14ac:dyDescent="0.25">
      <c r="B17" s="31" t="s">
        <v>90</v>
      </c>
      <c r="C17" s="76" t="s">
        <v>87</v>
      </c>
      <c r="D17" s="86">
        <v>178.57</v>
      </c>
      <c r="E17" s="3">
        <v>178.57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>
        <v>50</v>
      </c>
      <c r="M17" t="s">
        <v>242</v>
      </c>
      <c r="N17" s="12">
        <v>206.3</v>
      </c>
      <c r="O17" s="39">
        <v>46060</v>
      </c>
      <c r="P17" s="1" t="s">
        <v>66</v>
      </c>
      <c r="Q17" s="1" t="s">
        <v>5</v>
      </c>
      <c r="T17" s="98"/>
      <c r="U17" s="99"/>
      <c r="V17" s="100"/>
      <c r="W17" s="101"/>
      <c r="X17" s="90"/>
      <c r="Y17" s="91"/>
      <c r="AA17" s="90"/>
      <c r="AB17" s="90"/>
    </row>
    <row r="18" spans="2:28" ht="15" customHeight="1" x14ac:dyDescent="0.25">
      <c r="B18" s="31" t="s">
        <v>118</v>
      </c>
      <c r="C18" s="32" t="s">
        <v>104</v>
      </c>
      <c r="D18" s="86">
        <f>SUM(V6:V21)</f>
        <v>414.71000000000004</v>
      </c>
      <c r="E18" s="3">
        <v>414.71</v>
      </c>
      <c r="F18"/>
      <c r="G18" s="31" t="s">
        <v>84</v>
      </c>
      <c r="H18" s="31" t="s">
        <v>26</v>
      </c>
      <c r="I18" s="32" t="s">
        <v>53</v>
      </c>
      <c r="J18" s="3">
        <f>SUM(N9:R9)</f>
        <v>204.41</v>
      </c>
      <c r="K18" s="3">
        <v>171</v>
      </c>
      <c r="M18" t="s">
        <v>243</v>
      </c>
      <c r="N18" s="12">
        <v>103.15</v>
      </c>
      <c r="O18" s="39">
        <v>46060</v>
      </c>
      <c r="P18" s="1" t="s">
        <v>66</v>
      </c>
      <c r="Q18" s="1" t="s">
        <v>5</v>
      </c>
      <c r="T18" s="104"/>
      <c r="U18" s="105"/>
      <c r="V18" s="106"/>
      <c r="W18" s="107"/>
      <c r="X18" s="90"/>
      <c r="Y18" s="91"/>
      <c r="AA18" s="90"/>
      <c r="AB18" s="90"/>
    </row>
    <row r="19" spans="2:28" ht="15" customHeight="1" x14ac:dyDescent="0.25">
      <c r="B19" s="31" t="s">
        <v>30</v>
      </c>
      <c r="C19" s="76" t="s">
        <v>55</v>
      </c>
      <c r="D19" s="12">
        <v>1399.26</v>
      </c>
      <c r="E19" s="3">
        <v>1399.26</v>
      </c>
      <c r="F19"/>
      <c r="G19" s="31" t="s">
        <v>250</v>
      </c>
      <c r="H19" s="31" t="s">
        <v>54</v>
      </c>
      <c r="I19" s="32" t="s">
        <v>53</v>
      </c>
      <c r="J19" s="3">
        <f>SUM(N7:R7)</f>
        <v>0</v>
      </c>
      <c r="K19" s="3"/>
      <c r="M19" s="84" t="s">
        <v>237</v>
      </c>
      <c r="N19" s="12">
        <v>190</v>
      </c>
      <c r="O19" s="39">
        <v>46093</v>
      </c>
      <c r="P19" s="84" t="s">
        <v>27</v>
      </c>
      <c r="Q19" s="84" t="s">
        <v>5</v>
      </c>
      <c r="T19" s="98"/>
      <c r="U19" s="99"/>
      <c r="V19" s="100"/>
      <c r="W19" s="101"/>
      <c r="X19" s="90"/>
      <c r="Y19" s="90"/>
      <c r="Z19" s="91"/>
      <c r="AA19" s="90"/>
      <c r="AB19" s="90"/>
    </row>
    <row r="20" spans="2:28" ht="15" customHeight="1" x14ac:dyDescent="0.25">
      <c r="B20" s="31" t="s">
        <v>5</v>
      </c>
      <c r="C20" s="76" t="s">
        <v>55</v>
      </c>
      <c r="D20" s="12">
        <v>0</v>
      </c>
      <c r="E20" s="3"/>
      <c r="F20"/>
      <c r="G20" s="31" t="s">
        <v>84</v>
      </c>
      <c r="H20" s="31" t="s">
        <v>27</v>
      </c>
      <c r="I20" s="32" t="s">
        <v>53</v>
      </c>
      <c r="J20" s="3">
        <f>SUM(N10:R10)</f>
        <v>490</v>
      </c>
      <c r="K20" s="3">
        <v>490</v>
      </c>
      <c r="M20" s="1" t="s">
        <v>238</v>
      </c>
      <c r="N20" s="12">
        <v>300</v>
      </c>
      <c r="O20" s="39">
        <v>46093</v>
      </c>
      <c r="P20" s="1" t="s">
        <v>27</v>
      </c>
      <c r="Q20" s="1" t="s">
        <v>98</v>
      </c>
      <c r="T20" s="104"/>
      <c r="U20" s="105"/>
      <c r="V20" s="106"/>
      <c r="W20" s="107"/>
      <c r="X20" s="90"/>
      <c r="Y20" s="90"/>
      <c r="Z20" s="91"/>
      <c r="AA20" s="90"/>
      <c r="AB20" s="90"/>
    </row>
    <row r="21" spans="2:28" ht="15" customHeight="1" x14ac:dyDescent="0.25">
      <c r="B21" s="31" t="s">
        <v>52</v>
      </c>
      <c r="C21" s="76" t="s">
        <v>55</v>
      </c>
      <c r="D21" s="12">
        <v>0</v>
      </c>
      <c r="E21" s="86"/>
      <c r="F21"/>
      <c r="G21" s="31" t="s">
        <v>84</v>
      </c>
      <c r="H21" s="31" t="s">
        <v>25</v>
      </c>
      <c r="I21" s="32" t="s">
        <v>53</v>
      </c>
      <c r="J21" s="3">
        <f>SUM(N8:R8)</f>
        <v>1928</v>
      </c>
      <c r="K21" s="3">
        <v>493</v>
      </c>
      <c r="M21" t="s">
        <v>239</v>
      </c>
      <c r="N21" s="12">
        <v>170.01</v>
      </c>
      <c r="O21" s="39">
        <v>46131</v>
      </c>
      <c r="P21" s="1" t="s">
        <v>26</v>
      </c>
      <c r="Q21" s="1" t="s">
        <v>98</v>
      </c>
      <c r="T21" s="98"/>
      <c r="U21" s="99"/>
      <c r="V21" s="100"/>
      <c r="W21" s="101"/>
      <c r="X21" s="90"/>
      <c r="Y21" s="90"/>
      <c r="Z21" s="91"/>
      <c r="AA21" s="90"/>
      <c r="AB21" s="90"/>
    </row>
    <row r="22" spans="2:28" ht="15" customHeight="1" x14ac:dyDescent="0.25">
      <c r="B22" s="31" t="s">
        <v>98</v>
      </c>
      <c r="C22" s="76" t="s">
        <v>55</v>
      </c>
      <c r="D22" s="12">
        <v>3397.09</v>
      </c>
      <c r="E22" s="86">
        <v>3397.09</v>
      </c>
      <c r="F22"/>
      <c r="G22" s="31" t="s">
        <v>118</v>
      </c>
      <c r="H22" s="31" t="s">
        <v>89</v>
      </c>
      <c r="I22" s="32" t="s">
        <v>193</v>
      </c>
      <c r="J22" s="86">
        <f>Y11</f>
        <v>181.38299999999998</v>
      </c>
      <c r="K22" s="86">
        <v>233.02</v>
      </c>
      <c r="M22" t="s">
        <v>251</v>
      </c>
      <c r="N22" s="12">
        <v>276</v>
      </c>
      <c r="O22" s="39">
        <v>46152</v>
      </c>
      <c r="P22" s="1" t="s">
        <v>25</v>
      </c>
      <c r="Q22" s="1" t="s">
        <v>30</v>
      </c>
      <c r="T22" s="90"/>
      <c r="U22" s="92" t="s">
        <v>115</v>
      </c>
      <c r="V22" s="91">
        <f>SUM(V5:V21)</f>
        <v>604.61</v>
      </c>
      <c r="W22" s="91">
        <f>SUM(W5:W21)-V22</f>
        <v>-604.61</v>
      </c>
      <c r="X22" s="90"/>
      <c r="Y22" s="90"/>
      <c r="Z22" s="91"/>
      <c r="AA22" s="90"/>
      <c r="AB22" s="90"/>
    </row>
    <row r="23" spans="2:28" ht="15" customHeight="1" x14ac:dyDescent="0.25">
      <c r="B23" s="1" t="s">
        <v>102</v>
      </c>
      <c r="C23" s="34" t="s">
        <v>102</v>
      </c>
      <c r="D23" s="86">
        <v>1485.11</v>
      </c>
      <c r="E23" s="86">
        <v>1485.11</v>
      </c>
      <c r="F23"/>
      <c r="G23" s="31" t="s">
        <v>84</v>
      </c>
      <c r="H23" s="31" t="s">
        <v>66</v>
      </c>
      <c r="I23" s="32" t="s">
        <v>53</v>
      </c>
      <c r="J23" s="86">
        <f>SUM(N11:R11)</f>
        <v>618.9</v>
      </c>
      <c r="K23" s="86">
        <v>618.9</v>
      </c>
      <c r="M23" s="1" t="s">
        <v>252</v>
      </c>
      <c r="N23" s="12">
        <v>167</v>
      </c>
      <c r="O23" s="39">
        <v>46152</v>
      </c>
      <c r="P23" s="1" t="s">
        <v>25</v>
      </c>
      <c r="Q23" s="1" t="s">
        <v>30</v>
      </c>
    </row>
    <row r="24" spans="2:28" ht="15" customHeight="1" x14ac:dyDescent="0.25">
      <c r="B24" s="84" t="s">
        <v>62</v>
      </c>
      <c r="C24" s="85" t="s">
        <v>66</v>
      </c>
      <c r="D24" s="86">
        <v>786.67</v>
      </c>
      <c r="E24" s="86">
        <f>Tabela32313[[#This Row],[PREVISTO]]</f>
        <v>786.67</v>
      </c>
      <c r="F24"/>
      <c r="G24" s="31" t="s">
        <v>195</v>
      </c>
      <c r="H24" s="31" t="s">
        <v>98</v>
      </c>
      <c r="I24" s="32" t="s">
        <v>73</v>
      </c>
      <c r="J24" s="86">
        <v>112.54</v>
      </c>
      <c r="K24" s="86"/>
      <c r="M24" t="s">
        <v>256</v>
      </c>
      <c r="N24" s="12">
        <v>34.4</v>
      </c>
      <c r="O24" s="39">
        <v>46152</v>
      </c>
      <c r="P24" s="1" t="s">
        <v>26</v>
      </c>
      <c r="Q24" s="1" t="s">
        <v>30</v>
      </c>
    </row>
    <row r="25" spans="2:28" ht="15" customHeight="1" x14ac:dyDescent="0.25">
      <c r="B25" s="31" t="s">
        <v>253</v>
      </c>
      <c r="C25" s="32" t="s">
        <v>66</v>
      </c>
      <c r="D25" s="86">
        <v>108.39</v>
      </c>
      <c r="E25" s="86">
        <v>108.39</v>
      </c>
      <c r="F25"/>
      <c r="G25" s="31" t="s">
        <v>196</v>
      </c>
      <c r="H25" s="31" t="s">
        <v>35</v>
      </c>
      <c r="I25" s="32" t="s">
        <v>82</v>
      </c>
      <c r="J25" s="3">
        <v>0</v>
      </c>
      <c r="K25" s="3"/>
      <c r="M25"/>
      <c r="N25" s="12"/>
      <c r="O25" s="39"/>
    </row>
    <row r="26" spans="2:28" ht="15" customHeight="1" x14ac:dyDescent="0.25">
      <c r="B26" s="31" t="s">
        <v>254</v>
      </c>
      <c r="C26" s="32" t="s">
        <v>65</v>
      </c>
      <c r="D26" s="3">
        <v>1400</v>
      </c>
      <c r="E26" s="3">
        <v>1400</v>
      </c>
      <c r="F26"/>
      <c r="G26" t="s">
        <v>245</v>
      </c>
      <c r="H26" t="s">
        <v>246</v>
      </c>
      <c r="I26" s="30" t="s">
        <v>70</v>
      </c>
      <c r="J26" s="3">
        <v>290</v>
      </c>
      <c r="K26" s="3">
        <v>290</v>
      </c>
      <c r="M26"/>
      <c r="N26" s="12"/>
      <c r="O26" s="39"/>
    </row>
    <row r="27" spans="2:28" ht="15" customHeight="1" x14ac:dyDescent="0.25">
      <c r="B27" t="s">
        <v>255</v>
      </c>
      <c r="C27" s="30" t="s">
        <v>66</v>
      </c>
      <c r="D27" s="3">
        <v>150</v>
      </c>
      <c r="E27" s="3">
        <v>150</v>
      </c>
      <c r="F27"/>
      <c r="G27" t="s">
        <v>247</v>
      </c>
      <c r="H27" t="s">
        <v>76</v>
      </c>
      <c r="I27" s="30" t="s">
        <v>70</v>
      </c>
      <c r="J27" s="3">
        <v>188</v>
      </c>
      <c r="K27" s="3">
        <v>188</v>
      </c>
      <c r="M27"/>
      <c r="N27" s="12"/>
      <c r="O27" s="39"/>
    </row>
    <row r="28" spans="2:28" ht="15" customHeight="1" x14ac:dyDescent="0.25">
      <c r="B28" t="s">
        <v>236</v>
      </c>
      <c r="C28" s="30" t="s">
        <v>236</v>
      </c>
      <c r="D28" s="3">
        <v>315</v>
      </c>
      <c r="E28" s="3">
        <v>315</v>
      </c>
      <c r="F28"/>
      <c r="G28" s="31" t="s">
        <v>248</v>
      </c>
      <c r="H28" s="31" t="s">
        <v>76</v>
      </c>
      <c r="I28" s="32" t="s">
        <v>70</v>
      </c>
      <c r="J28" s="3">
        <v>49</v>
      </c>
      <c r="K28" s="3">
        <v>49</v>
      </c>
      <c r="M28"/>
      <c r="N28" s="12"/>
      <c r="O28" s="39"/>
    </row>
    <row r="29" spans="2:28" ht="15" customHeight="1" x14ac:dyDescent="0.25">
      <c r="B29" t="s">
        <v>257</v>
      </c>
      <c r="C29" s="30" t="s">
        <v>258</v>
      </c>
      <c r="D29" s="3">
        <v>2934.7</v>
      </c>
      <c r="E29" s="3">
        <v>2934.7</v>
      </c>
      <c r="F29"/>
      <c r="G29" t="s">
        <v>250</v>
      </c>
      <c r="H29" t="s">
        <v>249</v>
      </c>
      <c r="I29" s="30" t="s">
        <v>70</v>
      </c>
      <c r="J29" s="3">
        <v>300</v>
      </c>
      <c r="K29" s="3">
        <v>150</v>
      </c>
      <c r="M29"/>
      <c r="N29" s="12"/>
      <c r="O29" s="30"/>
    </row>
    <row r="30" spans="2:28" s="10" customFormat="1" ht="15" customHeight="1" x14ac:dyDescent="0.25">
      <c r="B30" t="s">
        <v>259</v>
      </c>
      <c r="C30" s="30" t="s">
        <v>258</v>
      </c>
      <c r="D30" s="3">
        <v>376.35</v>
      </c>
      <c r="E30" s="3">
        <v>376.35</v>
      </c>
      <c r="F30"/>
      <c r="G30" s="1" t="s">
        <v>159</v>
      </c>
      <c r="H30" s="1" t="s">
        <v>66</v>
      </c>
      <c r="I30" s="34" t="s">
        <v>66</v>
      </c>
      <c r="J30" s="12">
        <v>108.39</v>
      </c>
      <c r="K30" s="12">
        <v>108.39</v>
      </c>
      <c r="M30"/>
      <c r="N30" s="1"/>
      <c r="O30" s="1"/>
      <c r="P30" s="1"/>
      <c r="Q30" s="1"/>
    </row>
    <row r="31" spans="2:28" ht="15" customHeight="1" x14ac:dyDescent="0.25">
      <c r="B31" s="31" t="s">
        <v>263</v>
      </c>
      <c r="C31" s="32" t="s">
        <v>66</v>
      </c>
      <c r="D31" s="3">
        <v>190</v>
      </c>
      <c r="E31" s="3">
        <v>190</v>
      </c>
      <c r="F31"/>
      <c r="G31" s="1" t="s">
        <v>255</v>
      </c>
      <c r="H31" s="1" t="s">
        <v>26</v>
      </c>
      <c r="I31" s="34" t="s">
        <v>66</v>
      </c>
      <c r="J31" s="12">
        <v>150</v>
      </c>
      <c r="K31" s="12">
        <v>150</v>
      </c>
      <c r="M31"/>
    </row>
    <row r="32" spans="2:28" ht="15" customHeight="1" x14ac:dyDescent="0.25">
      <c r="B32" s="31" t="s">
        <v>264</v>
      </c>
      <c r="C32" s="32" t="s">
        <v>69</v>
      </c>
      <c r="D32" s="3">
        <v>500</v>
      </c>
      <c r="E32" s="3">
        <v>500</v>
      </c>
      <c r="F32"/>
      <c r="G32" s="1" t="s">
        <v>260</v>
      </c>
      <c r="H32" s="1" t="s">
        <v>25</v>
      </c>
      <c r="I32" s="34" t="s">
        <v>100</v>
      </c>
      <c r="J32" s="12">
        <v>130</v>
      </c>
      <c r="K32" s="12">
        <v>130</v>
      </c>
      <c r="M32"/>
    </row>
    <row r="33" spans="2:18" ht="15" customHeight="1" x14ac:dyDescent="0.25">
      <c r="B33" s="31" t="s">
        <v>265</v>
      </c>
      <c r="C33" s="32" t="s">
        <v>69</v>
      </c>
      <c r="D33" s="3">
        <v>223</v>
      </c>
      <c r="E33" s="3">
        <v>223</v>
      </c>
      <c r="F33"/>
      <c r="G33" s="84" t="s">
        <v>209</v>
      </c>
      <c r="H33" s="84" t="s">
        <v>35</v>
      </c>
      <c r="I33" s="85" t="s">
        <v>82</v>
      </c>
      <c r="J33" s="83">
        <v>110</v>
      </c>
      <c r="K33" s="83">
        <v>110</v>
      </c>
      <c r="M33"/>
    </row>
    <row r="34" spans="2:18" ht="15" customHeight="1" x14ac:dyDescent="0.25">
      <c r="B34" s="31" t="s">
        <v>273</v>
      </c>
      <c r="C34" s="30"/>
      <c r="D34" s="86"/>
      <c r="E34" s="86"/>
      <c r="F34"/>
      <c r="G34" s="84" t="s">
        <v>261</v>
      </c>
      <c r="H34" s="84" t="s">
        <v>262</v>
      </c>
      <c r="I34" s="85" t="s">
        <v>66</v>
      </c>
      <c r="J34" s="83">
        <v>863.43</v>
      </c>
      <c r="K34" s="83">
        <v>863.43</v>
      </c>
      <c r="M34"/>
    </row>
    <row r="35" spans="2:18" ht="15" customHeight="1" x14ac:dyDescent="0.25">
      <c r="B35"/>
      <c r="C35" s="30"/>
      <c r="D35" s="3"/>
      <c r="E35" s="3"/>
      <c r="F35"/>
      <c r="M35"/>
    </row>
    <row r="36" spans="2:18" ht="15" customHeight="1" x14ac:dyDescent="0.25">
      <c r="B36" s="31"/>
      <c r="C36" s="32"/>
      <c r="D36" s="3"/>
      <c r="E36" s="3"/>
      <c r="F36"/>
      <c r="M36"/>
      <c r="N36"/>
      <c r="O36" s="3"/>
      <c r="P36" s="33"/>
      <c r="Q36"/>
    </row>
    <row r="37" spans="2:18" ht="15" customHeight="1" x14ac:dyDescent="0.25">
      <c r="B37"/>
      <c r="C37" s="30"/>
      <c r="D37" s="3"/>
      <c r="E37" s="3"/>
      <c r="F37"/>
      <c r="M37"/>
      <c r="N37" s="31"/>
      <c r="O37" s="3"/>
      <c r="P37" s="33"/>
      <c r="Q37" s="31"/>
    </row>
    <row r="38" spans="2:18" ht="15" customHeight="1" x14ac:dyDescent="0.25">
      <c r="B38"/>
      <c r="C38" s="30"/>
      <c r="D38" s="3"/>
      <c r="E38" s="3"/>
      <c r="F38"/>
    </row>
    <row r="39" spans="2:18" ht="15" customHeight="1" x14ac:dyDescent="0.25">
      <c r="D39" s="12"/>
      <c r="E39" s="12"/>
    </row>
    <row r="40" spans="2:18" ht="15" customHeight="1" x14ac:dyDescent="0.25">
      <c r="B40" s="84"/>
      <c r="C40" s="85"/>
      <c r="D40" s="83"/>
      <c r="E40" s="83"/>
    </row>
    <row r="41" spans="2:18" ht="15" customHeight="1" x14ac:dyDescent="0.25">
      <c r="B41" s="84"/>
      <c r="C41" s="85"/>
      <c r="D41" s="83"/>
      <c r="E41" s="83"/>
    </row>
    <row r="42" spans="2:18" ht="15" customHeight="1" x14ac:dyDescent="0.25">
      <c r="D42" s="83"/>
      <c r="E42" s="83"/>
      <c r="R42"/>
    </row>
    <row r="43" spans="2:18" ht="15" customHeight="1" x14ac:dyDescent="0.25">
      <c r="R43" s="31"/>
    </row>
  </sheetData>
  <mergeCells count="24">
    <mergeCell ref="D2:E3"/>
    <mergeCell ref="G2:I2"/>
    <mergeCell ref="J2:K2"/>
    <mergeCell ref="M2:R2"/>
    <mergeCell ref="B3:B4"/>
    <mergeCell ref="G3:I3"/>
    <mergeCell ref="J3:K3"/>
    <mergeCell ref="J4:K4"/>
    <mergeCell ref="T2:Y2"/>
    <mergeCell ref="X8:Y8"/>
    <mergeCell ref="B14:E14"/>
    <mergeCell ref="G14:K14"/>
    <mergeCell ref="G5:I5"/>
    <mergeCell ref="J5:K5"/>
    <mergeCell ref="B7:B8"/>
    <mergeCell ref="G7:I7"/>
    <mergeCell ref="J7:K7"/>
    <mergeCell ref="G8:I8"/>
    <mergeCell ref="J8:K8"/>
    <mergeCell ref="G9:I9"/>
    <mergeCell ref="J9:K9"/>
    <mergeCell ref="B12:K12"/>
    <mergeCell ref="B13:C13"/>
    <mergeCell ref="G13:I13"/>
  </mergeCells>
  <conditionalFormatting sqref="B3">
    <cfRule type="cellIs" dxfId="64" priority="5" operator="lessThan">
      <formula>0</formula>
    </cfRule>
    <cfRule type="cellIs" dxfId="63" priority="6" operator="greaterThan">
      <formula>0</formula>
    </cfRule>
    <cfRule type="cellIs" dxfId="62" priority="7" operator="lessThan">
      <formula>0</formula>
    </cfRule>
  </conditionalFormatting>
  <conditionalFormatting sqref="B7">
    <cfRule type="cellIs" dxfId="61" priority="3" operator="lessThan">
      <formula>0</formula>
    </cfRule>
    <cfRule type="cellIs" dxfId="60" priority="4" operator="greaterThan">
      <formula>0</formula>
    </cfRule>
  </conditionalFormatting>
  <conditionalFormatting sqref="J9:J10 I11">
    <cfRule type="cellIs" dxfId="59" priority="1" operator="greaterThan">
      <formula>0</formula>
    </cfRule>
    <cfRule type="cellIs" dxfId="58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FFF9-5398-42D3-A5F8-DE8BF8EB3D6B}">
  <dimension ref="B1:AB43"/>
  <sheetViews>
    <sheetView showGridLines="0" topLeftCell="A12" zoomScaleNormal="100" workbookViewId="0">
      <selection activeCell="G26" sqref="G26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4.855468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8" ht="9.9499999999999993" customHeight="1" x14ac:dyDescent="0.25"/>
    <row r="2" spans="2:28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1023.97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</row>
    <row r="3" spans="2:28" s="10" customFormat="1" ht="15" customHeight="1" x14ac:dyDescent="0.25">
      <c r="B3" s="142">
        <f>SUM(Maio!B3,K13-E13)</f>
        <v>1023.9699999999966</v>
      </c>
      <c r="C3" s="41"/>
      <c r="D3" s="158"/>
      <c r="E3" s="159"/>
      <c r="G3" s="152" t="s">
        <v>19</v>
      </c>
      <c r="H3" s="153"/>
      <c r="I3" s="153"/>
      <c r="J3" s="154">
        <f>SUM(J2-B3)</f>
        <v>3.4106051316484809E-12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</row>
    <row r="4" spans="2:28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4098.6000000000004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640.06000000000006</v>
      </c>
      <c r="AA4" s="90" t="s">
        <v>107</v>
      </c>
      <c r="AB4" s="90"/>
    </row>
    <row r="5" spans="2:28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3831.57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8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146.06</v>
      </c>
      <c r="W6" s="107"/>
      <c r="X6" s="108" t="s">
        <v>109</v>
      </c>
      <c r="Y6" s="109">
        <f>SUM(Y4-Y5)</f>
        <v>640.06000000000006</v>
      </c>
      <c r="AA6" s="90" t="s">
        <v>110</v>
      </c>
      <c r="AB6" s="90">
        <v>7003157185</v>
      </c>
    </row>
    <row r="7" spans="2:28" ht="15" customHeight="1" x14ac:dyDescent="0.25">
      <c r="B7" s="142">
        <f>SUM(J13-D13)+Maio!B3</f>
        <v>1073.7179999999962</v>
      </c>
      <c r="C7" s="42"/>
      <c r="D7" s="64" t="s">
        <v>30</v>
      </c>
      <c r="E7" s="65">
        <v>1023.97</v>
      </c>
      <c r="G7" s="144" t="s">
        <v>15</v>
      </c>
      <c r="H7" s="145"/>
      <c r="I7" s="145"/>
      <c r="J7" s="146">
        <f>SUM(J5*15)/100</f>
        <v>574.7355</v>
      </c>
      <c r="K7" s="147"/>
      <c r="M7" s="70" t="s">
        <v>54</v>
      </c>
      <c r="N7" s="72">
        <f>SUMIFS(Tabela4101215182124273033394143610315[Valor],Tabela4101215182124273033394143610315[Pagador],"Paula",Tabela4101215182124273033394143610315[Banco],"Inter")</f>
        <v>0</v>
      </c>
      <c r="O7" s="72">
        <f>SUMIFS(Tabela4101215182124273033394143610315[Valor],Tabela4101215182124273033394143610315[Pagador],"Paula",Tabela4101215182124273033394143610315[Banco],"Santander")</f>
        <v>0</v>
      </c>
      <c r="P7" s="72">
        <f>SUMIFS(Tabela4101215182124273033394143610315[Valor],Tabela4101215182124273033394143610315[Pagador],"Paula",Tabela4101215182124273033394143610315[Banco],"Mercado Pago")</f>
        <v>300</v>
      </c>
      <c r="Q7" s="73">
        <f>SUMIFS(Tabela4101215182124273033394143610315[Valor],Tabela4101215182124273033394143610315[Pagador],"Paula",Tabela4101215182124273033394143610315[Banco],"NuBank")</f>
        <v>0</v>
      </c>
      <c r="R7" s="73">
        <f>SUMIFS(Tabela4101215182124273033394143610315[Valor],Tabela4101215182124273033394143610315[Pagador],"Paula",Tabela4101215182124273033394143610315[Banco],"PicPay")</f>
        <v>0</v>
      </c>
      <c r="T7" s="98" t="s">
        <v>97</v>
      </c>
      <c r="U7" s="99"/>
      <c r="V7" s="100">
        <v>304.10000000000002</v>
      </c>
      <c r="W7" s="101"/>
      <c r="X7" s="90"/>
      <c r="Y7" s="90"/>
      <c r="Z7" s="91"/>
      <c r="AA7" s="90" t="s">
        <v>111</v>
      </c>
      <c r="AB7" s="90">
        <v>3001236814</v>
      </c>
    </row>
    <row r="8" spans="2:28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2490.5205000000001</v>
      </c>
      <c r="K8" s="151"/>
      <c r="M8" s="70" t="s">
        <v>28</v>
      </c>
      <c r="N8" s="72">
        <f>SUMIFS(Tabela4101215182124273033394143610315[Valor],Tabela4101215182124273033394143610315[Pagador],"Anna",Tabela4101215182124273033394143610315[Banco],"Inter")</f>
        <v>0</v>
      </c>
      <c r="O8" s="72">
        <f>SUMIFS(Tabela4101215182124273033394143610315[Valor],Tabela4101215182124273033394143610315[Pagador],"Anna",Tabela4101215182124273033394143610315[Banco],"Santander")</f>
        <v>0</v>
      </c>
      <c r="P8" s="72">
        <f>SUMIFS(Tabela4101215182124273033394143610315[Valor],Tabela4101215182124273033394143610315[Pagador],"Anna",Tabela4101215182124273033394143610315[Banco],"Mercado Pago")</f>
        <v>2375</v>
      </c>
      <c r="Q8" s="73">
        <f>SUMIFS(Tabela4101215182124273033394143610315[Valor],Tabela4101215182124273033394143610315[Pagador],"Anna",Tabela4101215182124273033394143610315[Banco],"NuBank")</f>
        <v>0</v>
      </c>
      <c r="R8" s="73">
        <f>SUMIFS(Tabela4101215182124273033394143610315[Valor],Tabela4101215182124273033394143610315[Pagador],"Anna",Tabela4101215182124273033394143610315[Banco],"PicPay")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8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-1017.0599999999995</v>
      </c>
      <c r="K9" s="131"/>
      <c r="M9" s="70" t="s">
        <v>26</v>
      </c>
      <c r="N9" s="72">
        <f>SUMIFS(Tabela4101215182124273033394143610315[Valor],Tabela4101215182124273033394143610315[Pagador],"Lila",Tabela4101215182124273033394143610315[Banco],"Inter")</f>
        <v>0</v>
      </c>
      <c r="O9" s="72">
        <f>SUMIFS(Tabela4101215182124273033394143610315[Valor],Tabela4101215182124273033394143610315[Pagador],"Lila",Tabela4101215182124273033394143610315[Banco],"Santander")</f>
        <v>0</v>
      </c>
      <c r="P9" s="72">
        <f>SUMIFS(Tabela4101215182124273033394143610315[Valor],Tabela4101215182124273033394143610315[Pagador],"Lila",Tabela4101215182124273033394143610315[Banco],"Mercado Pago")</f>
        <v>0</v>
      </c>
      <c r="Q9" s="73">
        <f>SUMIFS(Tabela4101215182124273033394143610315[Valor],Tabela4101215182124273033394143610315[Pagador],"Lila",Tabela4101215182124273033394143610315[Banco],"NuBank")</f>
        <v>0</v>
      </c>
      <c r="R9" s="73">
        <f>SUMIFS(Tabela4101215182124273033394143610315[Valor],Tabela4101215182124273033394143610315[Pagador],"Lila",Tabela4101215182124273033394143610315[Banco],"PicPay")</f>
        <v>170.01</v>
      </c>
      <c r="T9" s="98"/>
      <c r="U9" s="99"/>
      <c r="V9" s="100"/>
      <c r="W9" s="101"/>
      <c r="X9" s="112" t="s">
        <v>24</v>
      </c>
      <c r="Y9" s="110">
        <f>((Y4*70)/100)+Y18</f>
        <v>448.04200000000003</v>
      </c>
      <c r="Z9"/>
      <c r="AA9" s="90"/>
      <c r="AB9" s="90"/>
    </row>
    <row r="10" spans="2:28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27</v>
      </c>
      <c r="N10" s="72">
        <f>SUMIFS(Tabela4101215182124273033394143610315[Valor],Tabela4101215182124273033394143610315[Pagador],"Jader",Tabela4101215182124273033394143610315[Banco],"Inter")</f>
        <v>190</v>
      </c>
      <c r="O10" s="72">
        <f>SUMIFS(Tabela4101215182124273033394143610315[Valor],Tabela4101215182124273033394143610315[Pagador],"Jader",Tabela4101215182124273033394143610315[Banco],"Santander")</f>
        <v>0</v>
      </c>
      <c r="P10" s="72">
        <f>SUMIFS(Tabela4101215182124273033394143610315[Valor],Tabela4101215182124273033394143610315[Pagador],"Jader",Tabela4101215182124273033394143610315[Banco],"Mercado Pago")</f>
        <v>0</v>
      </c>
      <c r="Q10" s="73">
        <f>SUMIFS(Tabela4101215182124273033394143610315[Valor],Tabela4101215182124273033394143610315[Pagador],"Jader",Tabela4101215182124273033394143610315[Banco],"NuBank")</f>
        <v>0</v>
      </c>
      <c r="R10" s="73">
        <f>SUMIFS(Tabela4101215182124273033394143610315[Valor],Tabela4101215182124273033394143610315[Pagador],"Jader",Tabela4101215182124273033394143610315[Banco],"PicPay")</f>
        <v>300</v>
      </c>
      <c r="T10" s="104"/>
      <c r="U10" s="105"/>
      <c r="V10" s="106"/>
      <c r="W10" s="107"/>
      <c r="X10" s="113"/>
      <c r="Y10" s="111"/>
      <c r="AA10" s="90"/>
      <c r="AB10" s="90"/>
    </row>
    <row r="11" spans="2:28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SUMIFS(Tabela4101215182124273033394143610315[Valor],Tabela4101215182124273033394143610315[Pagador],"Outros",Tabela4101215182124273033394143610315[Banco],"Inter")</f>
        <v>618.9</v>
      </c>
      <c r="O11" s="74">
        <f>SUMIFS(Tabela4101215182124273033394143610315[Valor],Tabela4101215182124273033394143610315[Pagador],"Outros",Tabela4101215182124273033394143610315[Banco],"Santander")</f>
        <v>0</v>
      </c>
      <c r="P11" s="74">
        <f>SUMIFS(Tabela4101215182124273033394143610315[Valor],Tabela4101215182124273033394143610315[Pagador],"Outros",Tabela4101215182124273033394143610315[Banco],"Mercado Pago")</f>
        <v>100</v>
      </c>
      <c r="Q11" s="75">
        <f>SUMIFS(Tabela4101215182124273033394143610315[Valor],Tabela4101215182124273033394143610315[Pagador],"Outros",Tabela4101215182124273033394143610315[Banco],"NuBank")</f>
        <v>0</v>
      </c>
      <c r="R11" s="75">
        <f>SUMIFS(Tabela4101215182124273033394143610315[Valor],Tabela4101215182124273033394143610315[Pagador],"Outros",Tabela4101215182124273033394143610315[Banco],"PicPay")</f>
        <v>44.69</v>
      </c>
      <c r="T11" s="98"/>
      <c r="U11" s="99"/>
      <c r="V11" s="100"/>
      <c r="W11" s="101"/>
      <c r="X11" s="112" t="s">
        <v>89</v>
      </c>
      <c r="Y11" s="110">
        <f>((Y4*30)/100)+Y18</f>
        <v>192.01800000000003</v>
      </c>
      <c r="Z11" s="10"/>
      <c r="AA11" s="90"/>
      <c r="AB11" s="90"/>
    </row>
    <row r="12" spans="2:28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</row>
    <row r="13" spans="2:28" ht="24.95" customHeight="1" x14ac:dyDescent="0.2">
      <c r="B13" s="133" t="s">
        <v>8</v>
      </c>
      <c r="C13" s="133"/>
      <c r="D13" s="88">
        <f>SUM(D16:D31)</f>
        <v>9539.5</v>
      </c>
      <c r="E13" s="88">
        <f>SUM(E16:E31)</f>
        <v>9539.5</v>
      </c>
      <c r="F13" s="77"/>
      <c r="G13" s="134" t="s">
        <v>8</v>
      </c>
      <c r="H13" s="134"/>
      <c r="I13" s="134"/>
      <c r="J13" s="88">
        <f>SUM(J16:J28)</f>
        <v>8572.1880000000001</v>
      </c>
      <c r="K13" s="88">
        <f>SUM(K16:K28)</f>
        <v>8522.44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T13" s="98"/>
      <c r="U13" s="99"/>
      <c r="V13" s="100"/>
      <c r="W13" s="101"/>
      <c r="X13" s="90"/>
      <c r="Y13" s="90"/>
      <c r="Z13" s="91"/>
      <c r="AA13" s="90"/>
      <c r="AB13" s="90"/>
    </row>
    <row r="14" spans="2:28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102</v>
      </c>
      <c r="N14" s="3">
        <v>1485</v>
      </c>
      <c r="O14" s="39">
        <v>46097</v>
      </c>
      <c r="P14" s="31" t="s">
        <v>25</v>
      </c>
      <c r="Q14" s="31" t="s">
        <v>30</v>
      </c>
      <c r="T14" s="104"/>
      <c r="U14" s="105"/>
      <c r="V14" s="106"/>
      <c r="W14" s="107"/>
      <c r="X14" s="90"/>
      <c r="Y14" s="90"/>
      <c r="Z14" s="91"/>
      <c r="AA14" s="90"/>
      <c r="AB14" s="90"/>
    </row>
    <row r="15" spans="2:28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1" t="s">
        <v>252</v>
      </c>
      <c r="N15" s="12">
        <v>167</v>
      </c>
      <c r="O15" s="39">
        <v>46152</v>
      </c>
      <c r="P15" s="1" t="s">
        <v>25</v>
      </c>
      <c r="Q15" s="1" t="s">
        <v>30</v>
      </c>
      <c r="T15" s="98"/>
      <c r="U15" s="99"/>
      <c r="V15" s="100"/>
      <c r="W15" s="101"/>
      <c r="X15" s="90"/>
      <c r="Y15" s="90"/>
      <c r="Z15" s="91"/>
      <c r="AA15" s="90"/>
      <c r="AB15" s="90"/>
    </row>
    <row r="16" spans="2:28" ht="15" customHeight="1" x14ac:dyDescent="0.25">
      <c r="B16" s="31" t="s">
        <v>31</v>
      </c>
      <c r="C16" s="76" t="s">
        <v>80</v>
      </c>
      <c r="D16" s="3">
        <v>444.25</v>
      </c>
      <c r="E16" s="3">
        <v>444.25</v>
      </c>
      <c r="F16"/>
      <c r="G16" s="31" t="s">
        <v>32</v>
      </c>
      <c r="H16" s="31" t="s">
        <v>75</v>
      </c>
      <c r="I16" s="32" t="s">
        <v>68</v>
      </c>
      <c r="J16" s="3">
        <v>3831.57</v>
      </c>
      <c r="K16" s="3">
        <v>3831.57</v>
      </c>
      <c r="M16" s="31" t="s">
        <v>244</v>
      </c>
      <c r="N16" s="12">
        <v>723</v>
      </c>
      <c r="O16" s="39">
        <v>46152</v>
      </c>
      <c r="P16" s="84" t="s">
        <v>25</v>
      </c>
      <c r="Q16" s="84" t="s">
        <v>30</v>
      </c>
      <c r="T16" s="104"/>
      <c r="U16" s="105"/>
      <c r="V16" s="106"/>
      <c r="W16" s="107"/>
      <c r="X16" s="90"/>
      <c r="Y16" s="90"/>
      <c r="Z16" s="91"/>
      <c r="AA16" s="90"/>
      <c r="AB16" s="90"/>
    </row>
    <row r="17" spans="2:28" ht="15" customHeight="1" x14ac:dyDescent="0.25">
      <c r="B17" s="31" t="s">
        <v>90</v>
      </c>
      <c r="C17" s="76" t="s">
        <v>87</v>
      </c>
      <c r="D17" s="86">
        <v>142.44</v>
      </c>
      <c r="E17" s="3">
        <v>142.44</v>
      </c>
      <c r="F17"/>
      <c r="G17" s="31" t="s">
        <v>77</v>
      </c>
      <c r="H17" s="31" t="s">
        <v>75</v>
      </c>
      <c r="I17" s="32" t="s">
        <v>68</v>
      </c>
      <c r="J17" s="3">
        <v>50</v>
      </c>
      <c r="K17" s="3">
        <v>50</v>
      </c>
      <c r="M17" s="84" t="s">
        <v>270</v>
      </c>
      <c r="N17" s="12">
        <v>190</v>
      </c>
      <c r="O17" s="39">
        <v>46093</v>
      </c>
      <c r="P17" s="84" t="s">
        <v>27</v>
      </c>
      <c r="Q17" s="84" t="s">
        <v>5</v>
      </c>
      <c r="T17" s="98"/>
      <c r="U17" s="99"/>
      <c r="V17" s="100"/>
      <c r="W17" s="101"/>
      <c r="X17" s="90"/>
      <c r="Y17" s="91"/>
      <c r="AA17" s="90"/>
      <c r="AB17" s="90"/>
    </row>
    <row r="18" spans="2:28" ht="15" customHeight="1" x14ac:dyDescent="0.25">
      <c r="B18" s="31" t="s">
        <v>118</v>
      </c>
      <c r="C18" s="32" t="s">
        <v>104</v>
      </c>
      <c r="D18" s="86">
        <f>SUM(V6:V21)</f>
        <v>450.16</v>
      </c>
      <c r="E18" s="3">
        <v>450.16</v>
      </c>
      <c r="F18"/>
      <c r="G18" s="31" t="s">
        <v>84</v>
      </c>
      <c r="H18" s="31" t="s">
        <v>26</v>
      </c>
      <c r="I18" s="32" t="s">
        <v>53</v>
      </c>
      <c r="J18" s="3">
        <f>SUM(N9:R9)</f>
        <v>170.01</v>
      </c>
      <c r="K18" s="3">
        <v>170.01</v>
      </c>
      <c r="M18" s="84" t="s">
        <v>271</v>
      </c>
      <c r="N18" s="12">
        <v>300</v>
      </c>
      <c r="O18" s="39">
        <v>46093</v>
      </c>
      <c r="P18" s="1" t="s">
        <v>27</v>
      </c>
      <c r="Q18" s="1" t="s">
        <v>98</v>
      </c>
      <c r="T18" s="104"/>
      <c r="U18" s="105"/>
      <c r="V18" s="106"/>
      <c r="W18" s="107"/>
      <c r="X18" s="90"/>
      <c r="Y18" s="91"/>
      <c r="AA18" s="90"/>
      <c r="AB18" s="90"/>
    </row>
    <row r="19" spans="2:28" ht="15" customHeight="1" x14ac:dyDescent="0.25">
      <c r="B19" s="31" t="s">
        <v>30</v>
      </c>
      <c r="C19" s="76" t="s">
        <v>55</v>
      </c>
      <c r="D19" s="12">
        <v>1415.59</v>
      </c>
      <c r="E19" s="3">
        <v>1415.59</v>
      </c>
      <c r="F19"/>
      <c r="G19" s="31" t="s">
        <v>250</v>
      </c>
      <c r="H19" s="31" t="s">
        <v>54</v>
      </c>
      <c r="I19" s="32" t="s">
        <v>53</v>
      </c>
      <c r="J19" s="3">
        <f>SUM(N7:R7)</f>
        <v>300</v>
      </c>
      <c r="K19" s="3">
        <v>300</v>
      </c>
      <c r="M19" s="31" t="s">
        <v>272</v>
      </c>
      <c r="N19" s="12">
        <v>170.01</v>
      </c>
      <c r="O19" s="39">
        <v>46131</v>
      </c>
      <c r="P19" s="1" t="s">
        <v>26</v>
      </c>
      <c r="Q19" s="1" t="s">
        <v>98</v>
      </c>
      <c r="T19" s="98"/>
      <c r="U19" s="99"/>
      <c r="V19" s="100"/>
      <c r="W19" s="101"/>
      <c r="X19" s="90"/>
      <c r="Y19" s="90"/>
      <c r="Z19" s="91"/>
      <c r="AA19" s="90"/>
      <c r="AB19" s="90"/>
    </row>
    <row r="20" spans="2:28" ht="15" customHeight="1" x14ac:dyDescent="0.25">
      <c r="B20" s="31" t="s">
        <v>98</v>
      </c>
      <c r="C20" s="76" t="s">
        <v>55</v>
      </c>
      <c r="D20" s="12">
        <v>3872.43</v>
      </c>
      <c r="E20" s="86">
        <v>3872.43</v>
      </c>
      <c r="F20"/>
      <c r="G20" s="31" t="s">
        <v>84</v>
      </c>
      <c r="H20" s="31" t="s">
        <v>27</v>
      </c>
      <c r="I20" s="32" t="s">
        <v>53</v>
      </c>
      <c r="J20" s="3">
        <f>SUM(N10:R10)</f>
        <v>490</v>
      </c>
      <c r="K20" s="3">
        <v>490</v>
      </c>
      <c r="M20" s="84" t="s">
        <v>266</v>
      </c>
      <c r="N20" s="12">
        <v>103.15</v>
      </c>
      <c r="O20" s="39">
        <v>46060</v>
      </c>
      <c r="P20" s="1" t="s">
        <v>66</v>
      </c>
      <c r="Q20" s="1" t="s">
        <v>5</v>
      </c>
      <c r="T20" s="104"/>
      <c r="U20" s="105"/>
      <c r="V20" s="106"/>
      <c r="W20" s="107"/>
      <c r="X20" s="90"/>
      <c r="Y20" s="90"/>
      <c r="Z20" s="91"/>
      <c r="AA20" s="90"/>
      <c r="AB20" s="90"/>
    </row>
    <row r="21" spans="2:28" ht="15" customHeight="1" x14ac:dyDescent="0.25">
      <c r="B21" s="1" t="s">
        <v>102</v>
      </c>
      <c r="C21" s="34" t="s">
        <v>102</v>
      </c>
      <c r="D21" s="86">
        <v>1485.11</v>
      </c>
      <c r="E21" s="86">
        <v>1485.11</v>
      </c>
      <c r="F21"/>
      <c r="G21" s="31" t="s">
        <v>84</v>
      </c>
      <c r="H21" s="31" t="s">
        <v>25</v>
      </c>
      <c r="I21" s="32" t="s">
        <v>53</v>
      </c>
      <c r="J21" s="3">
        <f>SUM(N8:R8)</f>
        <v>2375</v>
      </c>
      <c r="K21" s="3">
        <v>2375</v>
      </c>
      <c r="M21" s="31" t="s">
        <v>267</v>
      </c>
      <c r="N21" s="12">
        <v>206.3</v>
      </c>
      <c r="O21" s="39">
        <v>46060</v>
      </c>
      <c r="P21" s="1" t="s">
        <v>66</v>
      </c>
      <c r="Q21" s="1" t="s">
        <v>5</v>
      </c>
      <c r="T21" s="98"/>
      <c r="U21" s="99"/>
      <c r="V21" s="100"/>
      <c r="W21" s="101"/>
      <c r="X21" s="90"/>
      <c r="Y21" s="90"/>
      <c r="Z21" s="91"/>
      <c r="AA21" s="90"/>
      <c r="AB21" s="90"/>
    </row>
    <row r="22" spans="2:28" ht="15" customHeight="1" x14ac:dyDescent="0.25">
      <c r="B22" s="84" t="s">
        <v>62</v>
      </c>
      <c r="C22" s="85" t="s">
        <v>66</v>
      </c>
      <c r="D22" s="86">
        <v>815.52</v>
      </c>
      <c r="E22" s="86">
        <f>D22</f>
        <v>815.52</v>
      </c>
      <c r="F22"/>
      <c r="G22" s="31" t="s">
        <v>118</v>
      </c>
      <c r="H22" s="31" t="s">
        <v>89</v>
      </c>
      <c r="I22" s="32" t="s">
        <v>193</v>
      </c>
      <c r="J22" s="86">
        <f>Y11</f>
        <v>192.01800000000003</v>
      </c>
      <c r="K22" s="86">
        <v>192.02</v>
      </c>
      <c r="M22" s="31" t="s">
        <v>268</v>
      </c>
      <c r="N22" s="12">
        <v>206.3</v>
      </c>
      <c r="O22" s="39">
        <v>46060</v>
      </c>
      <c r="P22" s="1" t="s">
        <v>66</v>
      </c>
      <c r="Q22" s="1" t="s">
        <v>5</v>
      </c>
      <c r="T22" s="90"/>
      <c r="U22" s="92" t="s">
        <v>115</v>
      </c>
      <c r="V22" s="91">
        <f>SUM(V5:V21)</f>
        <v>640.06000000000006</v>
      </c>
      <c r="W22" s="91">
        <f>SUM(W5:W21)-V22</f>
        <v>-640.06000000000006</v>
      </c>
      <c r="X22" s="90"/>
      <c r="Y22" s="90"/>
      <c r="Z22" s="91"/>
      <c r="AA22" s="90"/>
      <c r="AB22" s="90"/>
    </row>
    <row r="23" spans="2:28" ht="15" customHeight="1" x14ac:dyDescent="0.25">
      <c r="B23" s="31" t="s">
        <v>280</v>
      </c>
      <c r="C23" s="32" t="s">
        <v>66</v>
      </c>
      <c r="D23" s="86">
        <v>35</v>
      </c>
      <c r="E23" s="86">
        <v>35</v>
      </c>
      <c r="F23"/>
      <c r="G23" s="31" t="s">
        <v>84</v>
      </c>
      <c r="H23" s="31" t="s">
        <v>66</v>
      </c>
      <c r="I23" s="32" t="s">
        <v>53</v>
      </c>
      <c r="J23" s="86">
        <f>SUM(N11:R11)</f>
        <v>763.58999999999992</v>
      </c>
      <c r="K23" s="86">
        <v>713.84</v>
      </c>
      <c r="M23" s="31" t="s">
        <v>269</v>
      </c>
      <c r="N23" s="12">
        <v>103.15</v>
      </c>
      <c r="O23" s="39">
        <v>46060</v>
      </c>
      <c r="P23" s="1" t="s">
        <v>66</v>
      </c>
      <c r="Q23" s="1" t="s">
        <v>5</v>
      </c>
    </row>
    <row r="24" spans="2:28" ht="15" customHeight="1" x14ac:dyDescent="0.25">
      <c r="B24" s="31" t="s">
        <v>281</v>
      </c>
      <c r="C24" s="32" t="s">
        <v>282</v>
      </c>
      <c r="D24" s="3">
        <v>879</v>
      </c>
      <c r="E24" s="3">
        <v>879</v>
      </c>
      <c r="F24"/>
      <c r="G24" s="31" t="s">
        <v>195</v>
      </c>
      <c r="H24" s="31" t="s">
        <v>98</v>
      </c>
      <c r="I24" s="32" t="s">
        <v>73</v>
      </c>
      <c r="J24" s="86"/>
      <c r="K24" s="86"/>
      <c r="M24" s="31" t="s">
        <v>276</v>
      </c>
      <c r="N24" s="12">
        <v>100</v>
      </c>
      <c r="O24" s="39">
        <v>46149</v>
      </c>
      <c r="P24" s="84" t="s">
        <v>66</v>
      </c>
      <c r="Q24" s="84" t="s">
        <v>30</v>
      </c>
    </row>
    <row r="25" spans="2:28" ht="15" customHeight="1" x14ac:dyDescent="0.25">
      <c r="B25"/>
      <c r="C25" s="30"/>
      <c r="D25" s="3"/>
      <c r="E25" s="3"/>
      <c r="F25"/>
      <c r="G25" s="31" t="s">
        <v>196</v>
      </c>
      <c r="H25" s="31" t="s">
        <v>35</v>
      </c>
      <c r="I25" s="32" t="s">
        <v>82</v>
      </c>
      <c r="J25" s="3"/>
      <c r="K25" s="3"/>
      <c r="M25" s="31" t="s">
        <v>277</v>
      </c>
      <c r="N25" s="12">
        <v>44.69</v>
      </c>
      <c r="O25" s="39">
        <v>46171</v>
      </c>
      <c r="P25" s="84" t="s">
        <v>66</v>
      </c>
      <c r="Q25" s="84" t="s">
        <v>98</v>
      </c>
    </row>
    <row r="26" spans="2:28" ht="15" customHeight="1" x14ac:dyDescent="0.25">
      <c r="B26"/>
      <c r="C26" s="30"/>
      <c r="D26" s="3"/>
      <c r="E26" s="3"/>
      <c r="F26"/>
      <c r="G26" s="31" t="s">
        <v>275</v>
      </c>
      <c r="H26" t="s">
        <v>249</v>
      </c>
      <c r="I26" s="30" t="s">
        <v>70</v>
      </c>
      <c r="J26" s="3">
        <v>300</v>
      </c>
      <c r="K26" s="3">
        <v>300</v>
      </c>
      <c r="M26" s="31" t="s">
        <v>274</v>
      </c>
      <c r="N26" s="12">
        <v>300</v>
      </c>
      <c r="O26" s="39">
        <v>46162</v>
      </c>
      <c r="P26" s="84" t="s">
        <v>54</v>
      </c>
      <c r="Q26" s="84" t="s">
        <v>30</v>
      </c>
    </row>
    <row r="27" spans="2:28" ht="15" customHeight="1" x14ac:dyDescent="0.25">
      <c r="B27"/>
      <c r="C27" s="30"/>
      <c r="D27" s="3"/>
      <c r="E27" s="3"/>
      <c r="F27"/>
      <c r="G27" s="1" t="s">
        <v>278</v>
      </c>
      <c r="H27" s="1" t="s">
        <v>279</v>
      </c>
      <c r="I27" s="34" t="s">
        <v>66</v>
      </c>
      <c r="J27" s="12">
        <v>100</v>
      </c>
      <c r="K27" s="12">
        <v>100</v>
      </c>
      <c r="M27"/>
      <c r="N27" s="12"/>
      <c r="O27" s="39"/>
    </row>
    <row r="28" spans="2:28" ht="15" customHeight="1" x14ac:dyDescent="0.25">
      <c r="B28"/>
      <c r="C28" s="30"/>
      <c r="D28" s="3"/>
      <c r="E28" s="3"/>
      <c r="F28"/>
      <c r="J28" s="12"/>
      <c r="K28" s="12"/>
      <c r="M28"/>
      <c r="N28" s="12"/>
      <c r="O28" s="30"/>
    </row>
    <row r="29" spans="2:28" ht="15" customHeight="1" x14ac:dyDescent="0.25">
      <c r="B29"/>
      <c r="C29" s="30"/>
      <c r="D29" s="3"/>
      <c r="E29" s="3"/>
      <c r="F29"/>
      <c r="M29"/>
    </row>
    <row r="30" spans="2:28" s="10" customFormat="1" ht="15" customHeight="1" x14ac:dyDescent="0.25">
      <c r="B30"/>
      <c r="C30" s="30"/>
      <c r="D30" s="3"/>
      <c r="E30" s="3"/>
      <c r="F30"/>
      <c r="G30" s="1"/>
      <c r="H30" s="1"/>
      <c r="I30" s="34"/>
      <c r="J30" s="1"/>
      <c r="K30" s="15"/>
      <c r="M30"/>
      <c r="N30" s="1"/>
      <c r="O30" s="1"/>
      <c r="P30" s="1"/>
      <c r="Q30" s="1"/>
    </row>
    <row r="31" spans="2:28" ht="15" customHeight="1" x14ac:dyDescent="0.25">
      <c r="B31"/>
      <c r="C31" s="30"/>
      <c r="D31" s="3"/>
      <c r="E31" s="3"/>
      <c r="F31"/>
      <c r="M31"/>
    </row>
    <row r="32" spans="2:28" ht="15" customHeight="1" x14ac:dyDescent="0.25">
      <c r="B32"/>
      <c r="C32" s="30"/>
      <c r="D32" s="3"/>
      <c r="E32" s="3"/>
      <c r="F32"/>
      <c r="M32"/>
    </row>
    <row r="33" spans="2:18" ht="15" customHeight="1" x14ac:dyDescent="0.25">
      <c r="B33"/>
      <c r="C33" s="30"/>
      <c r="D33" s="3"/>
      <c r="E33" s="3"/>
      <c r="F33"/>
      <c r="M33"/>
    </row>
    <row r="34" spans="2:18" ht="15" customHeight="1" x14ac:dyDescent="0.25">
      <c r="B34" s="31"/>
      <c r="C34" s="32"/>
      <c r="D34" s="3"/>
      <c r="E34" s="3"/>
      <c r="F34"/>
      <c r="M34"/>
    </row>
    <row r="35" spans="2:18" ht="15" customHeight="1" x14ac:dyDescent="0.25">
      <c r="B35"/>
      <c r="C35" s="30"/>
      <c r="D35" s="3"/>
      <c r="E35" s="3"/>
      <c r="F35"/>
      <c r="M35"/>
      <c r="N35"/>
      <c r="O35" s="3"/>
      <c r="P35" s="33"/>
      <c r="Q35"/>
    </row>
    <row r="36" spans="2:18" ht="15" customHeight="1" x14ac:dyDescent="0.25">
      <c r="B36"/>
      <c r="C36" s="30"/>
      <c r="D36" s="3"/>
      <c r="E36" s="3"/>
      <c r="F36"/>
      <c r="M36"/>
      <c r="N36" s="31"/>
      <c r="O36" s="3"/>
      <c r="P36" s="33"/>
      <c r="Q36" s="31"/>
    </row>
    <row r="37" spans="2:18" ht="15" customHeight="1" x14ac:dyDescent="0.25">
      <c r="D37" s="12"/>
      <c r="E37" s="12"/>
      <c r="F37"/>
    </row>
    <row r="38" spans="2:18" ht="15" customHeight="1" x14ac:dyDescent="0.25">
      <c r="B38" s="84"/>
      <c r="C38" s="85"/>
      <c r="D38" s="83"/>
      <c r="E38" s="83"/>
      <c r="F38"/>
    </row>
    <row r="39" spans="2:18" ht="15" customHeight="1" x14ac:dyDescent="0.25">
      <c r="B39" s="84"/>
      <c r="C39" s="85"/>
      <c r="D39" s="83"/>
      <c r="E39" s="83"/>
    </row>
    <row r="40" spans="2:18" ht="15" customHeight="1" x14ac:dyDescent="0.25">
      <c r="D40" s="83"/>
      <c r="E40" s="83"/>
    </row>
    <row r="42" spans="2:18" ht="15" customHeight="1" x14ac:dyDescent="0.25">
      <c r="R42"/>
    </row>
    <row r="43" spans="2:18" ht="15" customHeight="1" x14ac:dyDescent="0.25">
      <c r="R43" s="31"/>
    </row>
  </sheetData>
  <mergeCells count="24">
    <mergeCell ref="T2:Y2"/>
    <mergeCell ref="X8:Y8"/>
    <mergeCell ref="B14:E14"/>
    <mergeCell ref="G14:K14"/>
    <mergeCell ref="G5:I5"/>
    <mergeCell ref="J5:K5"/>
    <mergeCell ref="B7:B8"/>
    <mergeCell ref="G7:I7"/>
    <mergeCell ref="J7:K7"/>
    <mergeCell ref="G8:I8"/>
    <mergeCell ref="J8:K8"/>
    <mergeCell ref="G9:I9"/>
    <mergeCell ref="J9:K9"/>
    <mergeCell ref="B12:K12"/>
    <mergeCell ref="B13:C13"/>
    <mergeCell ref="G13:I13"/>
    <mergeCell ref="D2:E3"/>
    <mergeCell ref="G2:I2"/>
    <mergeCell ref="J2:K2"/>
    <mergeCell ref="M2:R2"/>
    <mergeCell ref="B3:B4"/>
    <mergeCell ref="G3:I3"/>
    <mergeCell ref="J3:K3"/>
    <mergeCell ref="J4:K4"/>
  </mergeCells>
  <conditionalFormatting sqref="B3">
    <cfRule type="cellIs" dxfId="57" priority="5" operator="lessThan">
      <formula>0</formula>
    </cfRule>
    <cfRule type="cellIs" dxfId="56" priority="6" operator="greaterThan">
      <formula>0</formula>
    </cfRule>
    <cfRule type="cellIs" dxfId="55" priority="7" operator="lessThan">
      <formula>0</formula>
    </cfRule>
  </conditionalFormatting>
  <conditionalFormatting sqref="B7">
    <cfRule type="cellIs" dxfId="54" priority="3" operator="lessThan">
      <formula>0</formula>
    </cfRule>
    <cfRule type="cellIs" dxfId="53" priority="4" operator="greaterThan">
      <formula>0</formula>
    </cfRule>
  </conditionalFormatting>
  <conditionalFormatting sqref="J9:J10 I11">
    <cfRule type="cellIs" dxfId="52" priority="1" operator="greaterThan">
      <formula>0</formula>
    </cfRule>
    <cfRule type="cellIs" dxfId="51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2759-000A-48E7-9BB7-4440360381F0}">
  <dimension ref="B1:AB43"/>
  <sheetViews>
    <sheetView showGridLines="0" tabSelected="1" topLeftCell="H1" zoomScale="90" zoomScaleNormal="90" workbookViewId="0">
      <selection activeCell="N23" sqref="N23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4.855468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29.855468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8" ht="9.9499999999999993" customHeight="1" x14ac:dyDescent="0.25"/>
    <row r="2" spans="2:28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4770.16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</row>
    <row r="3" spans="2:28" s="10" customFormat="1" ht="15" customHeight="1" x14ac:dyDescent="0.25">
      <c r="B3" s="142">
        <f>SUM(Junho!B3,K13-E13)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3.637978807091713E-12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</row>
    <row r="4" spans="2:28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3319.6000000000004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460.53</v>
      </c>
      <c r="AA4" s="90" t="s">
        <v>107</v>
      </c>
      <c r="AB4" s="90"/>
    </row>
    <row r="5" spans="2:28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3899.22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8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90.92</v>
      </c>
      <c r="W6" s="107"/>
      <c r="X6" s="108" t="s">
        <v>109</v>
      </c>
      <c r="Y6" s="109">
        <f>SUM(Y4-Y5)</f>
        <v>460.53</v>
      </c>
      <c r="AA6" s="90" t="s">
        <v>110</v>
      </c>
      <c r="AB6" s="90">
        <v>7003157185</v>
      </c>
    </row>
    <row r="7" spans="2:28" ht="15" customHeight="1" x14ac:dyDescent="0.25">
      <c r="B7" s="142">
        <f>SUM(J13-D13)+Junho!B3</f>
        <v>1584.8389999999963</v>
      </c>
      <c r="C7" s="42"/>
      <c r="D7" s="64" t="s">
        <v>30</v>
      </c>
      <c r="E7" s="65">
        <v>4770.16</v>
      </c>
      <c r="G7" s="144" t="s">
        <v>15</v>
      </c>
      <c r="H7" s="145"/>
      <c r="I7" s="145"/>
      <c r="J7" s="146">
        <f>SUM(J5*15)/100</f>
        <v>584.88299999999992</v>
      </c>
      <c r="K7" s="147"/>
      <c r="M7" s="70" t="s">
        <v>54</v>
      </c>
      <c r="N7" s="72">
        <f>SUMIFS(Tabela410121518212427303339414361031518[Valor],Tabela410121518212427303339414361031518[Pagador],"Paula",Tabela410121518212427303339414361031518[Banco],"Inter")</f>
        <v>0</v>
      </c>
      <c r="O7" s="72">
        <f>SUMIFS(Tabela410121518212427303339414361031518[Valor],Tabela410121518212427303339414361031518[Pagador],"Paula",Tabela410121518212427303339414361031518[Banco],"Santander")</f>
        <v>0</v>
      </c>
      <c r="P7" s="72">
        <f>SUMIFS(Tabela410121518212427303339414361031518[Valor],Tabela410121518212427303339414361031518[Pagador],"Paula",Tabela410121518212427303339414361031518[Banco],"Mercado Pago")</f>
        <v>300</v>
      </c>
      <c r="Q7" s="73">
        <f>SUMIFS(Tabela410121518212427303339414361031518[Valor],Tabela410121518212427303339414361031518[Pagador],"Paula",Tabela410121518212427303339414361031518[Banco],"NuBank")</f>
        <v>0</v>
      </c>
      <c r="R7" s="73">
        <f>SUMIFS(Tabela410121518212427303339414361031518[Valor],Tabela410121518212427303339414361031518[Pagador],"Paula",Tabela410121518212427303339414361031518[Banco],"PicPay")</f>
        <v>0</v>
      </c>
      <c r="T7" s="98" t="s">
        <v>97</v>
      </c>
      <c r="U7" s="99"/>
      <c r="V7" s="100">
        <v>179.71</v>
      </c>
      <c r="W7" s="101"/>
      <c r="X7" s="90"/>
      <c r="Y7" s="90"/>
      <c r="Z7" s="91"/>
      <c r="AA7" s="90" t="s">
        <v>111</v>
      </c>
      <c r="AB7" s="90">
        <v>3001236814</v>
      </c>
    </row>
    <row r="8" spans="2:28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2534.4929999999999</v>
      </c>
      <c r="K8" s="151"/>
      <c r="M8" s="70" t="s">
        <v>28</v>
      </c>
      <c r="N8" s="72">
        <f>SUMIFS(Tabela410121518212427303339414361031518[Valor],Tabela410121518212427303339414361031518[Pagador],"Anna",Tabela410121518212427303339414361031518[Banco],"Inter")</f>
        <v>0</v>
      </c>
      <c r="O8" s="72">
        <f>SUMIFS(Tabela410121518212427303339414361031518[Valor],Tabela410121518212427303339414361031518[Pagador],"Anna",Tabela410121518212427303339414361031518[Banco],"Santander")</f>
        <v>0</v>
      </c>
      <c r="P8" s="72">
        <f>SUMIFS(Tabela410121518212427303339414361031518[Valor],Tabela410121518212427303339414361031518[Pagador],"Anna",Tabela410121518212427303339414361031518[Banco],"Mercado Pago")</f>
        <v>1696</v>
      </c>
      <c r="Q8" s="73">
        <f>SUMIFS(Tabela410121518212427303339414361031518[Valor],Tabela410121518212427303339414361031518[Pagador],"Anna",Tabela410121518212427303339414361031518[Banco],"NuBank")</f>
        <v>0</v>
      </c>
      <c r="R8" s="73">
        <f>SUMIFS(Tabela410121518212427303339414361031518[Valor],Tabela410121518212427303339414361031518[Pagador],"Anna",Tabela410121518212427303339414361031518[Banco],"PicPay")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8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3746.1899999999991</v>
      </c>
      <c r="K9" s="131"/>
      <c r="M9" s="70" t="s">
        <v>26</v>
      </c>
      <c r="N9" s="72">
        <f>SUMIFS(Tabela410121518212427303339414361031518[Valor],Tabela410121518212427303339414361031518[Pagador],"Lila",Tabela410121518212427303339414361031518[Banco],"Inter")</f>
        <v>0</v>
      </c>
      <c r="O9" s="72">
        <f>SUMIFS(Tabela410121518212427303339414361031518[Valor],Tabela410121518212427303339414361031518[Pagador],"Lila",Tabela410121518212427303339414361031518[Banco],"Santander")</f>
        <v>0</v>
      </c>
      <c r="P9" s="72">
        <f>SUMIFS(Tabela410121518212427303339414361031518[Valor],Tabela410121518212427303339414361031518[Pagador],"Lila",Tabela410121518212427303339414361031518[Banco],"Mercado Pago")</f>
        <v>0</v>
      </c>
      <c r="Q9" s="73">
        <f>SUMIFS(Tabela410121518212427303339414361031518[Valor],Tabela410121518212427303339414361031518[Pagador],"Lila",Tabela410121518212427303339414361031518[Banco],"NuBank")</f>
        <v>0</v>
      </c>
      <c r="R9" s="73">
        <f>SUMIFS(Tabela410121518212427303339414361031518[Valor],Tabela410121518212427303339414361031518[Pagador],"Lila",Tabela410121518212427303339414361031518[Banco],"PicPay")</f>
        <v>170.01</v>
      </c>
      <c r="T9" s="98"/>
      <c r="U9" s="99"/>
      <c r="V9" s="100"/>
      <c r="W9" s="101"/>
      <c r="X9" s="112" t="s">
        <v>24</v>
      </c>
      <c r="Y9" s="110">
        <f>((Y4*70)/100)+Y18</f>
        <v>322.37099999999998</v>
      </c>
      <c r="Z9"/>
      <c r="AA9" s="90"/>
      <c r="AB9" s="90"/>
    </row>
    <row r="10" spans="2:28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27</v>
      </c>
      <c r="N10" s="72">
        <f>SUMIFS(Tabela410121518212427303339414361031518[Valor],Tabela410121518212427303339414361031518[Pagador],"Jader",Tabela410121518212427303339414361031518[Banco],"Inter")</f>
        <v>190</v>
      </c>
      <c r="O10" s="72">
        <f>SUMIFS(Tabela410121518212427303339414361031518[Valor],Tabela410121518212427303339414361031518[Pagador],"Jader",Tabela410121518212427303339414361031518[Banco],"Santander")</f>
        <v>0</v>
      </c>
      <c r="P10" s="72">
        <f>SUMIFS(Tabela410121518212427303339414361031518[Valor],Tabela410121518212427303339414361031518[Pagador],"Jader",Tabela410121518212427303339414361031518[Banco],"Mercado Pago")</f>
        <v>0</v>
      </c>
      <c r="Q10" s="73">
        <f>SUMIFS(Tabela410121518212427303339414361031518[Valor],Tabela410121518212427303339414361031518[Pagador],"Jader",Tabela410121518212427303339414361031518[Banco],"NuBank")</f>
        <v>0</v>
      </c>
      <c r="R10" s="73">
        <f>SUMIFS(Tabela410121518212427303339414361031518[Valor],Tabela410121518212427303339414361031518[Pagador],"Jader",Tabela410121518212427303339414361031518[Banco],"PicPay")</f>
        <v>300</v>
      </c>
      <c r="T10" s="104"/>
      <c r="U10" s="105"/>
      <c r="V10" s="106"/>
      <c r="W10" s="107"/>
      <c r="X10" s="113"/>
      <c r="Y10" s="111"/>
      <c r="AA10" s="90"/>
      <c r="AB10" s="90"/>
    </row>
    <row r="11" spans="2:28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66</v>
      </c>
      <c r="N11" s="74">
        <f>SUMIFS(Tabela410121518212427303339414361031518[Valor],Tabela410121518212427303339414361031518[Pagador],"Outros",Tabela410121518212427303339414361031518[Banco],"Inter")</f>
        <v>618.9</v>
      </c>
      <c r="O11" s="74">
        <f>SUMIFS(Tabela410121518212427303339414361031518[Valor],Tabela410121518212427303339414361031518[Pagador],"Outros",Tabela410121518212427303339414361031518[Banco],"Santander")</f>
        <v>0</v>
      </c>
      <c r="P11" s="74">
        <f>SUMIFS(Tabela410121518212427303339414361031518[Valor],Tabela410121518212427303339414361031518[Pagador],"Outros",Tabela410121518212427303339414361031518[Banco],"Mercado Pago")</f>
        <v>0</v>
      </c>
      <c r="Q11" s="75">
        <f>SUMIFS(Tabela410121518212427303339414361031518[Valor],Tabela410121518212427303339414361031518[Pagador],"Outros",Tabela410121518212427303339414361031518[Banco],"NuBank")</f>
        <v>0</v>
      </c>
      <c r="R11" s="75">
        <f>SUMIFS(Tabela410121518212427303339414361031518[Valor],Tabela410121518212427303339414361031518[Pagador],"Outros",Tabela410121518212427303339414361031518[Banco],"PicPay")</f>
        <v>44.69</v>
      </c>
      <c r="T11" s="98"/>
      <c r="U11" s="99"/>
      <c r="V11" s="100"/>
      <c r="W11" s="101"/>
      <c r="X11" s="112" t="s">
        <v>89</v>
      </c>
      <c r="Y11" s="110">
        <f>((Y4*30)/100)+Y18</f>
        <v>138.15899999999999</v>
      </c>
      <c r="Z11" s="10"/>
      <c r="AA11" s="90"/>
      <c r="AB11" s="90"/>
    </row>
    <row r="12" spans="2:28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</row>
    <row r="13" spans="2:28" ht="24.95" customHeight="1" x14ac:dyDescent="0.2">
      <c r="B13" s="133" t="s">
        <v>8</v>
      </c>
      <c r="C13" s="133"/>
      <c r="D13" s="88">
        <f>SUM(D16:D22)</f>
        <v>7177.71</v>
      </c>
      <c r="E13" s="88">
        <f>SUM(E16:E22)</f>
        <v>2105.94</v>
      </c>
      <c r="F13" s="77"/>
      <c r="G13" s="134" t="s">
        <v>8</v>
      </c>
      <c r="H13" s="134"/>
      <c r="I13" s="134"/>
      <c r="J13" s="88">
        <f>SUM(J16:J27)</f>
        <v>7738.5789999999997</v>
      </c>
      <c r="K13" s="88">
        <f>SUM(K16:K27)</f>
        <v>5852.1299999999992</v>
      </c>
      <c r="M13" s="81" t="s">
        <v>23</v>
      </c>
      <c r="N13" s="81" t="s">
        <v>22</v>
      </c>
      <c r="O13" s="81" t="s">
        <v>141</v>
      </c>
      <c r="P13" s="81" t="s">
        <v>139</v>
      </c>
      <c r="Q13" s="81" t="s">
        <v>140</v>
      </c>
      <c r="R13" s="123" t="s">
        <v>294</v>
      </c>
      <c r="T13" s="98"/>
      <c r="U13" s="99"/>
      <c r="V13" s="100"/>
      <c r="W13" s="101"/>
      <c r="X13" s="90"/>
      <c r="Y13" s="90"/>
      <c r="Z13" s="91"/>
      <c r="AA13" s="90"/>
      <c r="AB13" s="90"/>
    </row>
    <row r="14" spans="2:28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 s="31" t="s">
        <v>102</v>
      </c>
      <c r="N14" s="3">
        <v>1485</v>
      </c>
      <c r="O14" s="39">
        <v>46097</v>
      </c>
      <c r="P14" s="31" t="s">
        <v>25</v>
      </c>
      <c r="Q14" s="31" t="s">
        <v>30</v>
      </c>
      <c r="R14" s="34"/>
      <c r="T14" s="104"/>
      <c r="U14" s="105"/>
      <c r="V14" s="106"/>
      <c r="W14" s="107"/>
      <c r="X14" s="90"/>
      <c r="Y14" s="90"/>
      <c r="Z14" s="91"/>
      <c r="AA14" s="90"/>
      <c r="AB14" s="90"/>
    </row>
    <row r="15" spans="2:28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 s="1" t="s">
        <v>252</v>
      </c>
      <c r="N15" s="12">
        <v>211</v>
      </c>
      <c r="O15" s="39">
        <v>46152</v>
      </c>
      <c r="P15" s="1" t="s">
        <v>25</v>
      </c>
      <c r="Q15" s="1" t="s">
        <v>30</v>
      </c>
      <c r="R15" s="34" t="s">
        <v>295</v>
      </c>
      <c r="T15" s="98"/>
      <c r="U15" s="99"/>
      <c r="V15" s="100"/>
      <c r="W15" s="101"/>
      <c r="X15" s="90"/>
      <c r="Y15" s="90"/>
      <c r="Z15" s="91"/>
      <c r="AA15" s="90"/>
      <c r="AB15" s="90"/>
    </row>
    <row r="16" spans="2:28" ht="15" customHeight="1" x14ac:dyDescent="0.25">
      <c r="B16" s="31" t="s">
        <v>31</v>
      </c>
      <c r="C16" s="76" t="s">
        <v>80</v>
      </c>
      <c r="D16" s="3">
        <v>460</v>
      </c>
      <c r="E16" s="3">
        <v>460</v>
      </c>
      <c r="F16"/>
      <c r="G16" s="31" t="s">
        <v>32</v>
      </c>
      <c r="H16" s="31" t="s">
        <v>75</v>
      </c>
      <c r="I16" s="32" t="s">
        <v>68</v>
      </c>
      <c r="J16" s="3">
        <v>3899.22</v>
      </c>
      <c r="K16" s="3">
        <v>3899.22</v>
      </c>
      <c r="M16" s="84" t="s">
        <v>283</v>
      </c>
      <c r="N16" s="12">
        <v>190</v>
      </c>
      <c r="O16" s="39">
        <v>46093</v>
      </c>
      <c r="P16" s="84" t="s">
        <v>27</v>
      </c>
      <c r="Q16" s="84" t="s">
        <v>5</v>
      </c>
      <c r="R16" s="34" t="s">
        <v>295</v>
      </c>
      <c r="T16" s="104"/>
      <c r="U16" s="105"/>
      <c r="V16" s="106"/>
      <c r="W16" s="107"/>
      <c r="X16" s="90"/>
      <c r="Y16" s="90"/>
      <c r="Z16" s="91"/>
      <c r="AA16" s="90"/>
      <c r="AB16" s="90"/>
    </row>
    <row r="17" spans="2:28" ht="15" customHeight="1" x14ac:dyDescent="0.25">
      <c r="B17" s="31" t="s">
        <v>90</v>
      </c>
      <c r="C17" s="76" t="s">
        <v>87</v>
      </c>
      <c r="D17" s="86"/>
      <c r="E17" s="3"/>
      <c r="F17"/>
      <c r="G17" s="31" t="s">
        <v>77</v>
      </c>
      <c r="H17" s="31" t="s">
        <v>75</v>
      </c>
      <c r="I17" s="32" t="s">
        <v>68</v>
      </c>
      <c r="J17" s="3">
        <v>50</v>
      </c>
      <c r="K17" s="3"/>
      <c r="M17" s="84" t="s">
        <v>284</v>
      </c>
      <c r="N17" s="12">
        <v>300</v>
      </c>
      <c r="O17" s="39">
        <v>46093</v>
      </c>
      <c r="P17" s="1" t="s">
        <v>27</v>
      </c>
      <c r="Q17" s="1" t="s">
        <v>98</v>
      </c>
      <c r="R17" s="34" t="s">
        <v>295</v>
      </c>
      <c r="T17" s="98"/>
      <c r="U17" s="99"/>
      <c r="V17" s="100"/>
      <c r="W17" s="101"/>
      <c r="X17" s="90"/>
      <c r="Y17" s="91"/>
      <c r="AA17" s="90"/>
      <c r="AB17" s="90"/>
    </row>
    <row r="18" spans="2:28" ht="15" customHeight="1" x14ac:dyDescent="0.25">
      <c r="B18" s="31" t="s">
        <v>118</v>
      </c>
      <c r="C18" s="32" t="s">
        <v>104</v>
      </c>
      <c r="D18" s="86">
        <f>SUM(V6:V21)</f>
        <v>270.63</v>
      </c>
      <c r="E18" s="3"/>
      <c r="F18"/>
      <c r="G18" s="31" t="s">
        <v>84</v>
      </c>
      <c r="H18" s="31" t="s">
        <v>26</v>
      </c>
      <c r="I18" s="32" t="s">
        <v>53</v>
      </c>
      <c r="J18" s="3">
        <f>SUM(N9:R9)</f>
        <v>170.01</v>
      </c>
      <c r="K18" s="3">
        <v>171</v>
      </c>
      <c r="M18" s="31" t="s">
        <v>285</v>
      </c>
      <c r="N18" s="12">
        <v>170.01</v>
      </c>
      <c r="O18" s="39">
        <v>46131</v>
      </c>
      <c r="P18" s="1" t="s">
        <v>26</v>
      </c>
      <c r="Q18" s="1" t="s">
        <v>98</v>
      </c>
      <c r="R18" s="34"/>
      <c r="T18" s="104"/>
      <c r="U18" s="105"/>
      <c r="V18" s="106"/>
      <c r="W18" s="107"/>
      <c r="X18" s="90"/>
      <c r="Y18" s="91"/>
      <c r="AA18" s="90"/>
      <c r="AB18" s="90"/>
    </row>
    <row r="19" spans="2:28" ht="15" customHeight="1" x14ac:dyDescent="0.25">
      <c r="B19" s="31" t="s">
        <v>30</v>
      </c>
      <c r="C19" s="76" t="s">
        <v>55</v>
      </c>
      <c r="D19" s="12">
        <v>1636.92</v>
      </c>
      <c r="E19" s="3">
        <v>1636.92</v>
      </c>
      <c r="F19"/>
      <c r="G19" s="31" t="s">
        <v>84</v>
      </c>
      <c r="H19" s="31" t="s">
        <v>54</v>
      </c>
      <c r="I19" s="32" t="s">
        <v>53</v>
      </c>
      <c r="J19" s="3">
        <f>SUM(N7:R7)</f>
        <v>300</v>
      </c>
      <c r="K19" s="3">
        <v>300</v>
      </c>
      <c r="M19" s="84" t="s">
        <v>286</v>
      </c>
      <c r="N19" s="12">
        <v>103.15</v>
      </c>
      <c r="O19" s="39">
        <v>46060</v>
      </c>
      <c r="P19" s="1" t="s">
        <v>66</v>
      </c>
      <c r="Q19" s="1" t="s">
        <v>5</v>
      </c>
      <c r="R19" s="34"/>
      <c r="T19" s="98"/>
      <c r="U19" s="99"/>
      <c r="V19" s="100"/>
      <c r="W19" s="101"/>
      <c r="X19" s="90"/>
      <c r="Y19" s="90"/>
      <c r="Z19" s="91"/>
      <c r="AA19" s="90"/>
      <c r="AB19" s="90"/>
    </row>
    <row r="20" spans="2:28" ht="15" customHeight="1" x14ac:dyDescent="0.25">
      <c r="B20" s="31" t="s">
        <v>98</v>
      </c>
      <c r="C20" s="76" t="s">
        <v>55</v>
      </c>
      <c r="D20" s="12">
        <v>3316.03</v>
      </c>
      <c r="E20" s="86"/>
      <c r="F20"/>
      <c r="G20" s="31" t="s">
        <v>84</v>
      </c>
      <c r="H20" s="31" t="s">
        <v>27</v>
      </c>
      <c r="I20" s="32" t="s">
        <v>53</v>
      </c>
      <c r="J20" s="3">
        <f>SUM(N10:R10)</f>
        <v>490</v>
      </c>
      <c r="K20" s="3">
        <v>490</v>
      </c>
      <c r="M20" s="31" t="s">
        <v>287</v>
      </c>
      <c r="N20" s="12">
        <v>206.3</v>
      </c>
      <c r="O20" s="39">
        <v>46060</v>
      </c>
      <c r="P20" s="1" t="s">
        <v>66</v>
      </c>
      <c r="Q20" s="1" t="s">
        <v>5</v>
      </c>
      <c r="R20" s="34"/>
      <c r="T20" s="104"/>
      <c r="U20" s="105"/>
      <c r="V20" s="106"/>
      <c r="W20" s="107"/>
      <c r="X20" s="90"/>
      <c r="Y20" s="90"/>
      <c r="Z20" s="91"/>
      <c r="AA20" s="90"/>
      <c r="AB20" s="90"/>
    </row>
    <row r="21" spans="2:28" ht="15" customHeight="1" x14ac:dyDescent="0.25">
      <c r="B21" s="1" t="s">
        <v>102</v>
      </c>
      <c r="C21" s="34" t="s">
        <v>102</v>
      </c>
      <c r="D21" s="86">
        <v>1485.11</v>
      </c>
      <c r="E21" s="86"/>
      <c r="F21"/>
      <c r="G21" s="31" t="s">
        <v>84</v>
      </c>
      <c r="H21" s="31" t="s">
        <v>25</v>
      </c>
      <c r="I21" s="32" t="s">
        <v>53</v>
      </c>
      <c r="J21" s="3">
        <f>SUM(N8:R8)</f>
        <v>1696</v>
      </c>
      <c r="K21" s="3">
        <v>212</v>
      </c>
      <c r="M21" s="31" t="s">
        <v>288</v>
      </c>
      <c r="N21" s="12">
        <v>206.3</v>
      </c>
      <c r="O21" s="39">
        <v>46060</v>
      </c>
      <c r="P21" s="1" t="s">
        <v>66</v>
      </c>
      <c r="Q21" s="1" t="s">
        <v>5</v>
      </c>
      <c r="R21" s="34"/>
      <c r="T21" s="98"/>
      <c r="U21" s="99"/>
      <c r="V21" s="100"/>
      <c r="W21" s="101"/>
      <c r="X21" s="90"/>
      <c r="Y21" s="90"/>
      <c r="Z21" s="91"/>
      <c r="AA21" s="90"/>
      <c r="AB21" s="90"/>
    </row>
    <row r="22" spans="2:28" ht="15" customHeight="1" x14ac:dyDescent="0.25">
      <c r="B22" s="84" t="s">
        <v>62</v>
      </c>
      <c r="C22" s="85" t="s">
        <v>66</v>
      </c>
      <c r="D22" s="86">
        <v>9.02</v>
      </c>
      <c r="E22" s="86">
        <f>Tabela323131116[[#This Row],[PREVISTO]]</f>
        <v>9.02</v>
      </c>
      <c r="F22"/>
      <c r="G22" s="31" t="s">
        <v>118</v>
      </c>
      <c r="H22" s="31" t="s">
        <v>89</v>
      </c>
      <c r="I22" s="32" t="s">
        <v>193</v>
      </c>
      <c r="J22" s="86">
        <f>Y11</f>
        <v>138.15899999999999</v>
      </c>
      <c r="K22" s="86">
        <v>138.16</v>
      </c>
      <c r="M22" s="31" t="s">
        <v>289</v>
      </c>
      <c r="N22" s="12">
        <v>103.15</v>
      </c>
      <c r="O22" s="39">
        <v>46060</v>
      </c>
      <c r="P22" s="1" t="s">
        <v>66</v>
      </c>
      <c r="Q22" s="1" t="s">
        <v>5</v>
      </c>
      <c r="R22" s="34" t="s">
        <v>295</v>
      </c>
      <c r="T22" s="90"/>
      <c r="U22" s="92" t="s">
        <v>115</v>
      </c>
      <c r="V22" s="91">
        <f>SUM(V5:V21)</f>
        <v>460.53</v>
      </c>
      <c r="W22" s="91">
        <f>SUM(W5:W21)-V22</f>
        <v>-460.53</v>
      </c>
      <c r="X22" s="90"/>
      <c r="Y22" s="90"/>
      <c r="Z22" s="91"/>
      <c r="AA22" s="90"/>
      <c r="AB22" s="90"/>
    </row>
    <row r="23" spans="2:28" ht="15" customHeight="1" x14ac:dyDescent="0.25">
      <c r="B23" s="31"/>
      <c r="C23" s="32"/>
      <c r="D23" s="86"/>
      <c r="E23" s="86"/>
      <c r="F23"/>
      <c r="G23" s="31" t="s">
        <v>84</v>
      </c>
      <c r="H23" s="31" t="s">
        <v>66</v>
      </c>
      <c r="I23" s="32" t="s">
        <v>53</v>
      </c>
      <c r="J23" s="86">
        <f>SUM(N11:R11)</f>
        <v>663.58999999999992</v>
      </c>
      <c r="K23" s="86">
        <v>310.14999999999998</v>
      </c>
      <c r="M23" s="31" t="s">
        <v>290</v>
      </c>
      <c r="N23" s="12">
        <v>44.69</v>
      </c>
      <c r="O23" s="39">
        <v>46171</v>
      </c>
      <c r="P23" s="84" t="s">
        <v>66</v>
      </c>
      <c r="Q23" s="84" t="s">
        <v>98</v>
      </c>
      <c r="R23" s="34"/>
    </row>
    <row r="24" spans="2:28" ht="15" customHeight="1" x14ac:dyDescent="0.25">
      <c r="B24" s="31"/>
      <c r="C24" s="32"/>
      <c r="D24" s="3"/>
      <c r="E24" s="3"/>
      <c r="F24"/>
      <c r="G24" s="31" t="s">
        <v>195</v>
      </c>
      <c r="H24" s="31" t="s">
        <v>98</v>
      </c>
      <c r="I24" s="32" t="s">
        <v>73</v>
      </c>
      <c r="J24" s="86"/>
      <c r="K24" s="86"/>
      <c r="M24" s="31" t="s">
        <v>291</v>
      </c>
      <c r="N24" s="12">
        <v>300</v>
      </c>
      <c r="O24" s="39">
        <v>46162</v>
      </c>
      <c r="P24" s="84" t="s">
        <v>54</v>
      </c>
      <c r="Q24" s="84" t="s">
        <v>30</v>
      </c>
      <c r="R24" s="34" t="s">
        <v>295</v>
      </c>
    </row>
    <row r="25" spans="2:28" ht="15" customHeight="1" x14ac:dyDescent="0.25">
      <c r="B25"/>
      <c r="C25" s="30"/>
      <c r="D25" s="3"/>
      <c r="E25" s="3"/>
      <c r="F25"/>
      <c r="G25" s="31" t="s">
        <v>196</v>
      </c>
      <c r="H25" s="31" t="s">
        <v>35</v>
      </c>
      <c r="I25" s="32" t="s">
        <v>82</v>
      </c>
      <c r="J25" s="3"/>
      <c r="K25" s="3"/>
      <c r="M25"/>
      <c r="N25" s="12"/>
      <c r="O25" s="39"/>
      <c r="R25" s="34"/>
    </row>
    <row r="26" spans="2:28" ht="15" customHeight="1" x14ac:dyDescent="0.25">
      <c r="B26"/>
      <c r="C26" s="30"/>
      <c r="D26" s="3"/>
      <c r="E26" s="3"/>
      <c r="F26"/>
      <c r="G26" s="31" t="s">
        <v>292</v>
      </c>
      <c r="H26" t="s">
        <v>293</v>
      </c>
      <c r="I26" s="30" t="s">
        <v>204</v>
      </c>
      <c r="J26" s="3">
        <v>300</v>
      </c>
      <c r="K26" s="3">
        <v>300</v>
      </c>
      <c r="M26"/>
      <c r="N26" s="12"/>
      <c r="O26" s="30"/>
      <c r="R26" s="34"/>
    </row>
    <row r="27" spans="2:28" ht="15" customHeight="1" x14ac:dyDescent="0.25">
      <c r="B27"/>
      <c r="C27" s="30"/>
      <c r="D27" s="3"/>
      <c r="E27" s="3"/>
      <c r="F27"/>
      <c r="G27" s="1" t="s">
        <v>159</v>
      </c>
      <c r="H27" s="1" t="s">
        <v>75</v>
      </c>
      <c r="I27" s="34" t="s">
        <v>66</v>
      </c>
      <c r="J27" s="12">
        <v>31.6</v>
      </c>
      <c r="K27" s="12">
        <v>31.6</v>
      </c>
      <c r="M27"/>
    </row>
    <row r="28" spans="2:28" ht="15" customHeight="1" x14ac:dyDescent="0.25">
      <c r="B28"/>
      <c r="C28" s="30"/>
      <c r="D28" s="3"/>
      <c r="E28" s="3"/>
      <c r="F28"/>
      <c r="J28" s="12"/>
      <c r="K28" s="12"/>
      <c r="M28"/>
    </row>
    <row r="29" spans="2:28" ht="15" customHeight="1" x14ac:dyDescent="0.25">
      <c r="B29"/>
      <c r="C29" s="30"/>
      <c r="D29" s="3"/>
      <c r="E29" s="3"/>
      <c r="F29"/>
      <c r="M29"/>
    </row>
    <row r="30" spans="2:28" s="10" customFormat="1" ht="15" customHeight="1" x14ac:dyDescent="0.25">
      <c r="B30"/>
      <c r="C30" s="30"/>
      <c r="D30" s="3"/>
      <c r="E30" s="3"/>
      <c r="F30"/>
      <c r="G30" s="1"/>
      <c r="H30" s="1"/>
      <c r="I30" s="34"/>
      <c r="J30" s="1"/>
      <c r="K30" s="15"/>
      <c r="M30"/>
      <c r="N30" s="1"/>
      <c r="O30" s="1"/>
      <c r="P30" s="1"/>
      <c r="Q30" s="1"/>
    </row>
    <row r="31" spans="2:28" ht="15" customHeight="1" x14ac:dyDescent="0.25">
      <c r="B31"/>
      <c r="C31" s="30"/>
      <c r="D31" s="3"/>
      <c r="E31" s="3"/>
      <c r="F31"/>
      <c r="M31"/>
    </row>
    <row r="32" spans="2:28" ht="15" customHeight="1" x14ac:dyDescent="0.25">
      <c r="B32"/>
      <c r="C32" s="30"/>
      <c r="D32" s="3"/>
      <c r="E32" s="3"/>
      <c r="F32"/>
      <c r="M32"/>
    </row>
    <row r="33" spans="2:18" ht="15" customHeight="1" x14ac:dyDescent="0.25">
      <c r="B33"/>
      <c r="C33" s="30"/>
      <c r="D33" s="3"/>
      <c r="E33" s="3"/>
      <c r="F33"/>
      <c r="M33"/>
      <c r="N33"/>
      <c r="O33" s="3"/>
      <c r="P33" s="33"/>
      <c r="Q33"/>
    </row>
    <row r="34" spans="2:18" ht="15" customHeight="1" x14ac:dyDescent="0.25">
      <c r="B34" s="31"/>
      <c r="C34" s="32"/>
      <c r="D34" s="3"/>
      <c r="E34" s="3"/>
      <c r="F34"/>
      <c r="M34"/>
      <c r="N34" s="31"/>
      <c r="O34" s="3"/>
      <c r="P34" s="33"/>
      <c r="Q34" s="31"/>
    </row>
    <row r="35" spans="2:18" ht="15" customHeight="1" x14ac:dyDescent="0.25">
      <c r="B35"/>
      <c r="C35" s="30"/>
      <c r="D35" s="3"/>
      <c r="E35" s="3"/>
      <c r="F35"/>
    </row>
    <row r="36" spans="2:18" ht="15" customHeight="1" x14ac:dyDescent="0.25">
      <c r="B36"/>
      <c r="C36" s="30"/>
      <c r="D36" s="3"/>
      <c r="E36" s="3"/>
      <c r="F36"/>
    </row>
    <row r="37" spans="2:18" ht="15" customHeight="1" x14ac:dyDescent="0.25">
      <c r="D37" s="12"/>
      <c r="E37" s="12"/>
      <c r="F37"/>
    </row>
    <row r="38" spans="2:18" ht="15" customHeight="1" x14ac:dyDescent="0.25">
      <c r="B38" s="84"/>
      <c r="C38" s="85"/>
      <c r="D38" s="83"/>
      <c r="E38" s="83"/>
      <c r="F38"/>
    </row>
    <row r="39" spans="2:18" ht="15" customHeight="1" x14ac:dyDescent="0.25">
      <c r="B39" s="84"/>
      <c r="C39" s="85"/>
      <c r="D39" s="83"/>
      <c r="E39" s="83"/>
    </row>
    <row r="40" spans="2:18" ht="15" customHeight="1" x14ac:dyDescent="0.25">
      <c r="D40" s="83"/>
      <c r="E40" s="83"/>
    </row>
    <row r="42" spans="2:18" ht="15" customHeight="1" x14ac:dyDescent="0.25">
      <c r="R42"/>
    </row>
    <row r="43" spans="2:18" ht="15" customHeight="1" x14ac:dyDescent="0.25">
      <c r="R43" s="31"/>
    </row>
  </sheetData>
  <mergeCells count="24">
    <mergeCell ref="T2:Y2"/>
    <mergeCell ref="X8:Y8"/>
    <mergeCell ref="D2:E3"/>
    <mergeCell ref="G2:I2"/>
    <mergeCell ref="J2:K2"/>
    <mergeCell ref="M2:R2"/>
    <mergeCell ref="B14:E14"/>
    <mergeCell ref="G14:K14"/>
    <mergeCell ref="G5:I5"/>
    <mergeCell ref="J5:K5"/>
    <mergeCell ref="B7:B8"/>
    <mergeCell ref="G7:I7"/>
    <mergeCell ref="J7:K7"/>
    <mergeCell ref="G8:I8"/>
    <mergeCell ref="J8:K8"/>
    <mergeCell ref="G9:I9"/>
    <mergeCell ref="J9:K9"/>
    <mergeCell ref="B12:K12"/>
    <mergeCell ref="B13:C13"/>
    <mergeCell ref="G13:I13"/>
    <mergeCell ref="B3:B4"/>
    <mergeCell ref="G3:I3"/>
    <mergeCell ref="J3:K3"/>
    <mergeCell ref="J4:K4"/>
  </mergeCells>
  <conditionalFormatting sqref="B3">
    <cfRule type="cellIs" dxfId="50" priority="5" operator="lessThan">
      <formula>0</formula>
    </cfRule>
    <cfRule type="cellIs" dxfId="49" priority="6" operator="greaterThan">
      <formula>0</formula>
    </cfRule>
    <cfRule type="cellIs" dxfId="48" priority="7" operator="lessThan">
      <formula>0</formula>
    </cfRule>
  </conditionalFormatting>
  <conditionalFormatting sqref="B7">
    <cfRule type="cellIs" dxfId="47" priority="3" operator="lessThan">
      <formula>0</formula>
    </cfRule>
    <cfRule type="cellIs" dxfId="46" priority="4" operator="greaterThan">
      <formula>0</formula>
    </cfRule>
  </conditionalFormatting>
  <conditionalFormatting sqref="J9:J10 I11">
    <cfRule type="cellIs" dxfId="45" priority="1" operator="greaterThan">
      <formula>0</formula>
    </cfRule>
    <cfRule type="cellIs" dxfId="44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C759-796A-4578-8271-39C584E5443F}">
  <dimension ref="B1:W43"/>
  <sheetViews>
    <sheetView showGridLines="0" zoomScale="90" zoomScaleNormal="90" workbookViewId="0">
      <selection activeCell="G27" sqref="G27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8.7109375" style="1" customWidth="1"/>
    <col min="21" max="21" width="13.28515625" style="1" bestFit="1" customWidth="1"/>
    <col min="22" max="27" width="8.7109375" style="1" customWidth="1"/>
    <col min="28" max="16384" width="14.42578125" style="1"/>
  </cols>
  <sheetData>
    <row r="1" spans="2:18" ht="9.9499999999999993" customHeight="1" x14ac:dyDescent="0.25"/>
    <row r="2" spans="2:18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150</v>
      </c>
      <c r="K2" s="163"/>
      <c r="M2" s="135" t="s">
        <v>55</v>
      </c>
      <c r="N2" s="135"/>
      <c r="O2" s="135"/>
      <c r="P2" s="135"/>
      <c r="Q2" s="135"/>
      <c r="R2" s="135"/>
    </row>
    <row r="3" spans="2:18" s="10" customFormat="1" ht="15" customHeight="1" x14ac:dyDescent="0.25">
      <c r="B3" s="142">
        <f>SUM(Julho!B3,K13-E13)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-4620.1599999999962</v>
      </c>
      <c r="K3" s="155"/>
      <c r="M3" s="21"/>
      <c r="N3" s="22"/>
      <c r="O3" s="27"/>
      <c r="P3" s="19"/>
      <c r="Q3" s="24"/>
      <c r="R3" s="21"/>
    </row>
    <row r="4" spans="2:18" ht="15" customHeight="1" thickBot="1" x14ac:dyDescent="0.3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M4" s="164" t="s">
        <v>79</v>
      </c>
      <c r="N4" s="164"/>
      <c r="O4" s="165">
        <f>SUM(N7:Q11)</f>
        <v>0</v>
      </c>
      <c r="P4" s="165"/>
      <c r="Q4" s="28"/>
      <c r="R4" s="20"/>
    </row>
    <row r="5" spans="2:18" ht="15" customHeight="1" thickTop="1" x14ac:dyDescent="0.25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</row>
    <row r="6" spans="2:18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</row>
    <row r="7" spans="2:18" ht="15" customHeight="1" x14ac:dyDescent="0.25">
      <c r="B7" s="142">
        <f>SUM(J13-D13)+Julho!B3</f>
        <v>4770.1599999999962</v>
      </c>
      <c r="C7" s="42"/>
      <c r="D7" s="64" t="s">
        <v>30</v>
      </c>
      <c r="E7" s="65">
        <v>150</v>
      </c>
      <c r="G7" s="144" t="s">
        <v>15</v>
      </c>
      <c r="H7" s="145"/>
      <c r="I7" s="145"/>
      <c r="J7" s="146">
        <f>SUM(J5*15)/100</f>
        <v>0</v>
      </c>
      <c r="K7" s="147"/>
      <c r="M7" s="70" t="s">
        <v>24</v>
      </c>
      <c r="N7" s="72">
        <f>SUMIFS(Tabela4101215182124[VALOR],Tabela4101215182124[COMPRADOR],"Augusto",Tabela4101215182124[BANCO],"Inter")</f>
        <v>0</v>
      </c>
      <c r="O7" s="72">
        <f>SUMIFS(Tabela4101215182124[VALOR],Tabela4101215182124[COMPRADOR],"Augusto",Tabela4101215182124[BANCO],"Santander")</f>
        <v>0</v>
      </c>
      <c r="P7" s="72">
        <f>SUMIFS(Tabela4101215182124[VALOR],Tabela4101215182124[COMPRADOR],"Augusto",Tabela4101215182124[BANCO],"Mercado Pago")</f>
        <v>0</v>
      </c>
      <c r="Q7" s="73">
        <f>SUMIFS(Tabela4101215182124[VALOR],Tabela4101215182124[COMPRADOR],"Augusto",Tabela4101215182124[BANCO],"NuBank")</f>
        <v>0</v>
      </c>
      <c r="R7" s="73">
        <f>SUMIFS(Tabela4101215182124[VALOR],Tabela4101215182124[COMPRADOR],"Augusto",Tabela4101215182124[BANCO],"PicPay")</f>
        <v>0</v>
      </c>
    </row>
    <row r="8" spans="2:18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SUMIFS(Tabela4101215182124[VALOR],Tabela4101215182124[COMPRADOR],"Anna",Tabela4101215182124[BANCO],"Inter")</f>
        <v>0</v>
      </c>
      <c r="O8" s="72">
        <f>SUMIFS(Tabela4101215182124[VALOR],Tabela4101215182124[COMPRADOR],"Anna",Tabela4101215182124[BANCO],"Santander")</f>
        <v>0</v>
      </c>
      <c r="P8" s="72">
        <f>SUMIFS(Tabela4101215182124[VALOR],Tabela4101215182124[COMPRADOR],"Anna",Tabela4101215182124[BANCO],"Mercado Pago")</f>
        <v>0</v>
      </c>
      <c r="Q8" s="73">
        <f>SUMIFS(Tabela4101215182124[VALOR],Tabela4101215182124[COMPRADOR],"Anna",Tabela4101215182124[BANCO],"NuBank")</f>
        <v>0</v>
      </c>
      <c r="R8" s="73">
        <f>SUMIFS(Tabela4101215182124[VALOR],Tabela4101215182124[COMPRADOR],"Anna",Tabela4101215182124[BANCO],"PicPay")</f>
        <v>260</v>
      </c>
    </row>
    <row r="9" spans="2:18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0</v>
      </c>
      <c r="K9" s="131"/>
      <c r="M9" s="70" t="s">
        <v>26</v>
      </c>
      <c r="N9" s="72">
        <f>SUMIFS(Tabela4101215182124[VALOR],Tabela4101215182124[COMPRADOR],"Lila",Tabela4101215182124[BANCO],"Inter")</f>
        <v>0</v>
      </c>
      <c r="O9" s="72">
        <f>SUMIFS(Tabela4101215182124[VALOR],Tabela4101215182124[COMPRADOR],"Lila",Tabela4101215182124[BANCO],"Santander")</f>
        <v>0</v>
      </c>
      <c r="P9" s="72">
        <f>SUMIFS(Tabela4101215182124[VALOR],Tabela4101215182124[COMPRADOR],"Lila",Tabela4101215182124[BANCO],"Mercado Pago")</f>
        <v>0</v>
      </c>
      <c r="Q9" s="73">
        <f>SUMIFS(Tabela4101215182124[VALOR],Tabela4101215182124[COMPRADOR],"Lila",Tabela4101215182124[BANCO],"NuBank")</f>
        <v>0</v>
      </c>
      <c r="R9" s="73">
        <f>SUMIFS(Tabela4101215182124[VALOR],Tabela4101215182124[COMPRADOR],"Lila",Tabela4101215182124[BANCO],"PicPay")</f>
        <v>0</v>
      </c>
    </row>
    <row r="10" spans="2:18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SUMIFS(Tabela4101215182124[VALOR],Tabela4101215182124[COMPRADOR],"Paula",Tabela4101215182124[BANCO],"Inter")</f>
        <v>0</v>
      </c>
      <c r="O10" s="72">
        <f>SUMIFS(Tabela4101215182124[VALOR],Tabela4101215182124[COMPRADOR],"Paula",Tabela4101215182124[BANCO],"Santander")</f>
        <v>0</v>
      </c>
      <c r="P10" s="72">
        <f>SUMIFS(Tabela4101215182124[VALOR],Tabela4101215182124[COMPRADOR],"Paula",Tabela4101215182124[BANCO],"Mercado Pago")</f>
        <v>0</v>
      </c>
      <c r="Q10" s="73">
        <f>SUMIFS(Tabela4101215182124[VALOR],Tabela4101215182124[COMPRADOR],"Paula",Tabela4101215182124[BANCO],"NuBank")</f>
        <v>0</v>
      </c>
      <c r="R10" s="73">
        <f>SUMIFS(Tabela4101215182124[VALOR],Tabela4101215182124[COMPRADOR],"Paula",Tabela4101215182124[BANCO],"PicPay")</f>
        <v>1017.59</v>
      </c>
    </row>
    <row r="11" spans="2:18" ht="15.75" x14ac:dyDescent="0.25">
      <c r="B11" s="45"/>
      <c r="C11" s="42"/>
      <c r="D11" s="45"/>
      <c r="E11" s="46"/>
      <c r="G11" s="47"/>
      <c r="H11" s="47"/>
      <c r="I11" s="48"/>
      <c r="J11" s="45"/>
      <c r="K11" s="46"/>
      <c r="M11" s="71" t="s">
        <v>27</v>
      </c>
      <c r="N11" s="74">
        <f>SUMIFS(Tabela4101215182124[VALOR],Tabela4101215182124[COMPRADOR],"Jader",Tabela4101215182124[BANCO],"Inter")</f>
        <v>0</v>
      </c>
      <c r="O11" s="74">
        <f>SUMIFS(Tabela4101215182124[VALOR],Tabela4101215182124[COMPRADOR],"Jader",Tabela4101215182124[BANCO],"Santander")</f>
        <v>0</v>
      </c>
      <c r="P11" s="74">
        <f>SUMIFS(Tabela4101215182124[VALOR],Tabela4101215182124[COMPRADOR],"Jader",Tabela4101215182124[BANCO],"Mercado Pago")</f>
        <v>0</v>
      </c>
      <c r="Q11" s="75">
        <f>SUMIFS(Tabela4101215182124[VALOR],Tabela4101215182124[COMPRADOR],"Jader",Tabela4101215182124[BANCO],"NuBank")</f>
        <v>0</v>
      </c>
      <c r="R11" s="75">
        <f>SUMIFS(Tabela4101215182124[VALOR],Tabela4101215182124[COMPRADOR],"Jader",Tabela4101215182124[BANCO],"PicPay")</f>
        <v>0</v>
      </c>
    </row>
    <row r="12" spans="2:18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</row>
    <row r="13" spans="2:18" ht="24.95" customHeight="1" x14ac:dyDescent="0.25">
      <c r="B13" s="133" t="s">
        <v>8</v>
      </c>
      <c r="C13" s="133"/>
      <c r="D13" s="88">
        <f>SUM(D16:D31)</f>
        <v>0</v>
      </c>
      <c r="E13" s="88">
        <f>SUM(E16:E31)</f>
        <v>0</v>
      </c>
      <c r="F13" s="77"/>
      <c r="G13" s="134" t="s">
        <v>8</v>
      </c>
      <c r="H13" s="134"/>
      <c r="I13" s="134"/>
      <c r="J13" s="88">
        <f>SUM(J16:J28)</f>
        <v>0</v>
      </c>
      <c r="K13" s="88">
        <f>SUM(K16:K28)</f>
        <v>0</v>
      </c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</row>
    <row r="14" spans="2:18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 t="s">
        <v>121</v>
      </c>
      <c r="O14" s="3">
        <v>1017.59</v>
      </c>
      <c r="P14" s="33">
        <v>45818</v>
      </c>
      <c r="Q14" s="31" t="s">
        <v>54</v>
      </c>
      <c r="R14" s="31" t="s">
        <v>98</v>
      </c>
    </row>
    <row r="15" spans="2:18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 t="s">
        <v>99</v>
      </c>
      <c r="O15" s="3">
        <v>260</v>
      </c>
      <c r="P15" s="33"/>
      <c r="Q15" s="31" t="s">
        <v>25</v>
      </c>
      <c r="R15" s="31" t="s">
        <v>98</v>
      </c>
    </row>
    <row r="16" spans="2:18" ht="15" customHeight="1" x14ac:dyDescent="0.25">
      <c r="B16" s="31"/>
      <c r="C16" s="76"/>
      <c r="D16" s="3"/>
      <c r="E16" s="3"/>
      <c r="F16"/>
      <c r="G16" s="31"/>
      <c r="H16" s="31"/>
      <c r="I16" s="32"/>
      <c r="J16" s="3"/>
      <c r="K16" s="3"/>
      <c r="M16"/>
      <c r="N16" s="31"/>
      <c r="O16" s="3"/>
      <c r="P16" s="33"/>
      <c r="Q16" s="31"/>
      <c r="R16" s="31"/>
    </row>
    <row r="17" spans="2:23" ht="15" customHeight="1" x14ac:dyDescent="0.25">
      <c r="B17" s="31"/>
      <c r="C17" s="76"/>
      <c r="D17" s="86"/>
      <c r="E17" s="3"/>
      <c r="F17"/>
      <c r="G17" s="31"/>
      <c r="H17" s="31"/>
      <c r="I17" s="32"/>
      <c r="J17" s="3"/>
      <c r="K17" s="3"/>
      <c r="M17"/>
      <c r="N17" s="31"/>
      <c r="O17" s="3"/>
      <c r="P17" s="33"/>
      <c r="Q17" s="31"/>
      <c r="R17" s="31"/>
    </row>
    <row r="18" spans="2:23" ht="15" customHeight="1" x14ac:dyDescent="0.25">
      <c r="B18" s="31"/>
      <c r="C18" s="32"/>
      <c r="D18" s="86"/>
      <c r="E18" s="3"/>
      <c r="F18"/>
      <c r="G18" s="31"/>
      <c r="H18" s="31"/>
      <c r="I18" s="32"/>
      <c r="J18" s="3"/>
      <c r="K18" s="3"/>
      <c r="M18"/>
      <c r="N18" s="31"/>
      <c r="O18" s="3"/>
      <c r="P18" s="33"/>
      <c r="Q18" s="31"/>
      <c r="R18" s="31"/>
    </row>
    <row r="19" spans="2:23" ht="15" customHeight="1" x14ac:dyDescent="0.25">
      <c r="B19" s="31"/>
      <c r="C19" s="76"/>
      <c r="D19" s="12"/>
      <c r="E19" s="3"/>
      <c r="F19"/>
      <c r="G19" s="31"/>
      <c r="H19" s="31"/>
      <c r="I19" s="32"/>
      <c r="J19" s="3"/>
      <c r="K19" s="3"/>
      <c r="M19"/>
      <c r="N19" s="31"/>
      <c r="O19" s="3"/>
      <c r="P19" s="33"/>
      <c r="Q19" s="31"/>
      <c r="R19" s="31"/>
    </row>
    <row r="20" spans="2:23" ht="15" customHeight="1" x14ac:dyDescent="0.25">
      <c r="B20" s="31"/>
      <c r="C20" s="76"/>
      <c r="D20" s="12"/>
      <c r="E20" s="86"/>
      <c r="F20"/>
      <c r="G20" s="31"/>
      <c r="H20" s="31"/>
      <c r="I20" s="32"/>
      <c r="J20" s="3"/>
      <c r="K20" s="3"/>
      <c r="M20"/>
    </row>
    <row r="21" spans="2:23" ht="15" customHeight="1" x14ac:dyDescent="0.25">
      <c r="B21" s="31"/>
      <c r="C21" s="76"/>
      <c r="D21" s="12"/>
      <c r="E21" s="86"/>
      <c r="F21"/>
      <c r="G21" s="31"/>
      <c r="H21" s="31"/>
      <c r="I21" s="30"/>
      <c r="J21" s="86"/>
      <c r="K21" s="86"/>
      <c r="M21"/>
      <c r="N21" s="136" t="s">
        <v>104</v>
      </c>
      <c r="O21" s="137"/>
      <c r="P21" s="137"/>
      <c r="Q21" s="137"/>
      <c r="R21" s="137"/>
      <c r="S21" s="137"/>
      <c r="T21" s="137"/>
      <c r="U21" s="90"/>
      <c r="V21" s="90"/>
      <c r="W21" s="90"/>
    </row>
    <row r="22" spans="2:23" ht="15" customHeight="1" x14ac:dyDescent="0.25">
      <c r="B22" s="31"/>
      <c r="C22" s="76"/>
      <c r="D22" s="12"/>
      <c r="E22" s="86"/>
      <c r="F22"/>
      <c r="G22" s="31"/>
      <c r="H22" s="31"/>
      <c r="I22" s="32"/>
      <c r="J22" s="86"/>
      <c r="K22" s="86"/>
      <c r="M22"/>
      <c r="N22" s="90"/>
      <c r="O22" s="92"/>
      <c r="P22" s="91"/>
      <c r="Q22" s="91"/>
      <c r="R22" s="90"/>
      <c r="S22" s="90"/>
      <c r="T22" s="91"/>
      <c r="U22" s="90"/>
      <c r="V22" s="90"/>
      <c r="W22" s="90"/>
    </row>
    <row r="23" spans="2:23" ht="15" customHeight="1" x14ac:dyDescent="0.25">
      <c r="B23" s="31"/>
      <c r="C23" s="76"/>
      <c r="D23" s="3"/>
      <c r="E23" s="3"/>
      <c r="F23"/>
      <c r="G23"/>
      <c r="H23" s="31"/>
      <c r="I23" s="30"/>
      <c r="J23" s="86"/>
      <c r="K23" s="86"/>
      <c r="M23"/>
      <c r="N23" s="93" t="s">
        <v>1</v>
      </c>
      <c r="O23" s="94" t="s">
        <v>105</v>
      </c>
      <c r="P23" s="95" t="s">
        <v>91</v>
      </c>
      <c r="Q23" s="95" t="s">
        <v>3</v>
      </c>
      <c r="R23" s="96" t="s">
        <v>106</v>
      </c>
      <c r="S23" s="97">
        <f>SUM(P24:P40)</f>
        <v>412.96</v>
      </c>
      <c r="U23" s="90" t="s">
        <v>107</v>
      </c>
      <c r="V23" s="90"/>
    </row>
    <row r="24" spans="2:23" ht="15" customHeight="1" x14ac:dyDescent="0.25">
      <c r="D24" s="86"/>
      <c r="E24" s="86"/>
      <c r="F24"/>
      <c r="G24" s="31"/>
      <c r="H24" s="31"/>
      <c r="I24" s="32"/>
      <c r="J24" s="3"/>
      <c r="K24" s="3"/>
      <c r="M24"/>
      <c r="N24" s="98" t="s">
        <v>83</v>
      </c>
      <c r="O24" s="99"/>
      <c r="P24" s="100">
        <v>189.9</v>
      </c>
      <c r="Q24" s="101"/>
      <c r="R24" s="102" t="s">
        <v>108</v>
      </c>
      <c r="S24" s="103">
        <f>SUM(Q24:Q40)</f>
        <v>0</v>
      </c>
      <c r="U24" s="90"/>
      <c r="V24" s="90"/>
    </row>
    <row r="25" spans="2:23" ht="15" customHeight="1" x14ac:dyDescent="0.25">
      <c r="B25" s="84"/>
      <c r="C25" s="85"/>
      <c r="D25" s="86"/>
      <c r="E25" s="86"/>
      <c r="F25"/>
      <c r="G25" s="31"/>
      <c r="H25" s="31"/>
      <c r="I25" s="32"/>
      <c r="J25" s="3"/>
      <c r="K25" s="3"/>
      <c r="M25"/>
      <c r="N25" s="104" t="s">
        <v>96</v>
      </c>
      <c r="O25" s="105"/>
      <c r="P25" s="106">
        <v>72.25</v>
      </c>
      <c r="Q25" s="107"/>
      <c r="R25" s="108" t="s">
        <v>109</v>
      </c>
      <c r="S25" s="109">
        <f>SUM(S23-S24)</f>
        <v>412.96</v>
      </c>
      <c r="U25" s="90" t="s">
        <v>110</v>
      </c>
      <c r="V25" s="90">
        <v>7003157185</v>
      </c>
    </row>
    <row r="26" spans="2:23" ht="15" customHeight="1" x14ac:dyDescent="0.25">
      <c r="D26" s="3"/>
      <c r="E26" s="3"/>
      <c r="F26"/>
      <c r="G26" s="31"/>
      <c r="H26" s="31"/>
      <c r="I26" s="32"/>
      <c r="J26" s="3"/>
      <c r="K26" s="3"/>
      <c r="M26"/>
      <c r="N26" s="98" t="s">
        <v>97</v>
      </c>
      <c r="O26" s="99"/>
      <c r="P26" s="100">
        <v>150.81</v>
      </c>
      <c r="Q26" s="101"/>
      <c r="R26" s="90"/>
      <c r="S26" s="90"/>
      <c r="T26" s="91"/>
      <c r="U26" s="90" t="s">
        <v>111</v>
      </c>
      <c r="V26" s="90">
        <v>3001236814</v>
      </c>
    </row>
    <row r="27" spans="2:23" ht="15" customHeight="1" x14ac:dyDescent="0.25">
      <c r="D27" s="3"/>
      <c r="E27" s="3"/>
      <c r="F27"/>
      <c r="G27" s="31"/>
      <c r="H27" s="31"/>
      <c r="I27" s="32"/>
      <c r="J27" s="3"/>
      <c r="K27" s="3"/>
      <c r="M27"/>
      <c r="N27" s="104"/>
      <c r="O27" s="105"/>
      <c r="P27" s="106"/>
      <c r="Q27" s="107"/>
      <c r="R27" s="126" t="s">
        <v>112</v>
      </c>
      <c r="S27" s="127"/>
      <c r="T27"/>
      <c r="U27" s="90" t="s">
        <v>113</v>
      </c>
      <c r="V27" s="90" t="s">
        <v>114</v>
      </c>
    </row>
    <row r="28" spans="2:23" ht="15" customHeight="1" x14ac:dyDescent="0.25">
      <c r="B28"/>
      <c r="C28" s="30"/>
      <c r="D28" s="3"/>
      <c r="E28" s="3"/>
      <c r="F28"/>
      <c r="G28" s="31"/>
      <c r="H28" s="31"/>
      <c r="I28" s="32"/>
      <c r="J28" s="3"/>
      <c r="K28" s="3"/>
      <c r="M28"/>
      <c r="N28" s="98"/>
      <c r="O28" s="99"/>
      <c r="P28" s="100"/>
      <c r="Q28" s="101"/>
      <c r="R28" s="112" t="s">
        <v>24</v>
      </c>
      <c r="S28" s="110">
        <f>((S23*70)/100)+T37</f>
        <v>289.07199999999995</v>
      </c>
      <c r="T28"/>
      <c r="U28" s="90"/>
      <c r="V28" s="90"/>
      <c r="W28" s="90"/>
    </row>
    <row r="29" spans="2:23" ht="15" customHeight="1" x14ac:dyDescent="0.25">
      <c r="B29" s="31"/>
      <c r="C29" s="32"/>
      <c r="D29" s="86"/>
      <c r="E29" s="86"/>
      <c r="F29"/>
      <c r="G29" s="31"/>
      <c r="H29" s="31"/>
      <c r="I29" s="32"/>
      <c r="J29" s="3"/>
      <c r="K29" s="3"/>
      <c r="M29"/>
      <c r="N29" s="104"/>
      <c r="O29" s="105"/>
      <c r="P29" s="106"/>
      <c r="Q29" s="107"/>
      <c r="R29" s="113"/>
      <c r="S29" s="111"/>
      <c r="U29" s="90"/>
      <c r="V29" s="90"/>
      <c r="W29" s="90"/>
    </row>
    <row r="30" spans="2:23" s="10" customFormat="1" ht="15" customHeight="1" x14ac:dyDescent="0.25">
      <c r="B30"/>
      <c r="C30" s="30"/>
      <c r="D30" s="86"/>
      <c r="E30" s="86"/>
      <c r="F30"/>
      <c r="G30" s="31"/>
      <c r="H30" s="31"/>
      <c r="I30" s="32"/>
      <c r="J30" s="86"/>
      <c r="K30" s="86"/>
      <c r="M30"/>
      <c r="N30" s="98"/>
      <c r="O30" s="99"/>
      <c r="P30" s="100"/>
      <c r="Q30" s="101"/>
      <c r="R30" s="112" t="s">
        <v>89</v>
      </c>
      <c r="S30" s="110">
        <f>((S23*30)/100)+T37</f>
        <v>123.88799999999999</v>
      </c>
      <c r="U30" s="90"/>
      <c r="V30" s="90"/>
      <c r="W30" s="90"/>
    </row>
    <row r="31" spans="2:23" ht="15" customHeight="1" x14ac:dyDescent="0.25">
      <c r="B31"/>
      <c r="C31" s="30"/>
      <c r="D31" s="3"/>
      <c r="E31" s="3"/>
      <c r="F31"/>
      <c r="G31" s="31"/>
      <c r="H31" s="31"/>
      <c r="I31" s="32"/>
      <c r="J31" s="86"/>
      <c r="K31" s="86"/>
      <c r="M31"/>
      <c r="N31" s="104"/>
      <c r="O31" s="105"/>
      <c r="P31" s="106"/>
      <c r="Q31" s="107"/>
      <c r="R31" s="90"/>
      <c r="S31" s="90"/>
      <c r="T31" s="91"/>
      <c r="U31" s="90"/>
      <c r="V31" s="90"/>
      <c r="W31" s="90"/>
    </row>
    <row r="32" spans="2:23" ht="15" customHeight="1" x14ac:dyDescent="0.25">
      <c r="B32"/>
      <c r="C32" s="30"/>
      <c r="D32" s="3"/>
      <c r="E32" s="3"/>
      <c r="F32"/>
      <c r="G32"/>
      <c r="H32"/>
      <c r="I32" s="30"/>
      <c r="J32" s="86"/>
      <c r="K32" s="86"/>
      <c r="M32"/>
      <c r="N32" s="98"/>
      <c r="O32" s="99"/>
      <c r="P32" s="100"/>
      <c r="Q32" s="101"/>
      <c r="R32" s="90"/>
      <c r="S32" s="90"/>
      <c r="T32" s="91"/>
      <c r="U32" s="90"/>
      <c r="V32" s="90"/>
      <c r="W32" s="90"/>
    </row>
    <row r="33" spans="2:23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  <c r="N33" s="104"/>
      <c r="O33" s="105"/>
      <c r="P33" s="106"/>
      <c r="Q33" s="107"/>
      <c r="R33" s="90"/>
      <c r="S33" s="90"/>
      <c r="T33" s="91"/>
      <c r="U33" s="90"/>
      <c r="V33" s="90"/>
      <c r="W33" s="90"/>
    </row>
    <row r="34" spans="2:23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  <c r="N34" s="98"/>
      <c r="O34" s="99"/>
      <c r="P34" s="100"/>
      <c r="Q34" s="101"/>
      <c r="R34" s="90"/>
      <c r="S34" s="90"/>
      <c r="T34" s="91"/>
      <c r="U34" s="90"/>
      <c r="V34" s="90"/>
      <c r="W34" s="90"/>
    </row>
    <row r="35" spans="2:23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  <c r="N35" s="104"/>
      <c r="O35" s="105"/>
      <c r="P35" s="106"/>
      <c r="Q35" s="107"/>
      <c r="R35" s="90"/>
      <c r="S35" s="90"/>
      <c r="T35" s="91"/>
      <c r="U35" s="90"/>
      <c r="V35" s="90"/>
      <c r="W35" s="90"/>
    </row>
    <row r="36" spans="2:23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  <c r="N36" s="98"/>
      <c r="O36" s="99"/>
      <c r="P36" s="100"/>
      <c r="Q36" s="101"/>
      <c r="R36" s="90"/>
      <c r="S36" s="90" t="s">
        <v>115</v>
      </c>
      <c r="T36" s="91">
        <f>SUM(T32:T35)</f>
        <v>0</v>
      </c>
      <c r="U36" s="90"/>
      <c r="V36" s="90"/>
      <c r="W36" s="90"/>
    </row>
    <row r="37" spans="2:23" ht="15" customHeight="1" x14ac:dyDescent="0.25">
      <c r="B37"/>
      <c r="C37" s="30"/>
      <c r="D37" s="3"/>
      <c r="E37" s="3"/>
      <c r="F37"/>
      <c r="I37" s="1"/>
      <c r="K37" s="1"/>
      <c r="M37"/>
      <c r="N37" s="104"/>
      <c r="O37" s="105"/>
      <c r="P37" s="106"/>
      <c r="Q37" s="107"/>
      <c r="R37" s="90"/>
      <c r="S37" s="90" t="s">
        <v>116</v>
      </c>
      <c r="T37" s="91">
        <f>SUM(T36/2)</f>
        <v>0</v>
      </c>
      <c r="U37" s="90"/>
      <c r="V37" s="90"/>
      <c r="W37" s="90"/>
    </row>
    <row r="38" spans="2:23" ht="15" customHeight="1" x14ac:dyDescent="0.25">
      <c r="B38"/>
      <c r="C38" s="30"/>
      <c r="D38" s="3"/>
      <c r="E38" s="3"/>
      <c r="F38"/>
      <c r="M38"/>
      <c r="N38" s="98"/>
      <c r="O38" s="99"/>
      <c r="P38" s="100"/>
      <c r="Q38" s="101"/>
      <c r="R38" s="90"/>
      <c r="S38" s="90"/>
      <c r="T38" s="91"/>
      <c r="U38" s="90"/>
      <c r="V38" s="90"/>
      <c r="W38" s="90"/>
    </row>
    <row r="39" spans="2:23" ht="15" customHeight="1" x14ac:dyDescent="0.25">
      <c r="D39" s="12"/>
      <c r="E39" s="12"/>
      <c r="M39"/>
      <c r="N39" s="104"/>
      <c r="O39" s="105"/>
      <c r="P39" s="106"/>
      <c r="Q39" s="107"/>
      <c r="R39" s="90"/>
      <c r="S39" s="90"/>
      <c r="T39" s="91"/>
      <c r="U39" s="90"/>
      <c r="V39" s="90"/>
      <c r="W39" s="90"/>
    </row>
    <row r="40" spans="2:23" ht="15" customHeight="1" x14ac:dyDescent="0.25">
      <c r="B40" s="84"/>
      <c r="C40" s="85"/>
      <c r="D40" s="83"/>
      <c r="E40" s="83"/>
      <c r="M40"/>
      <c r="N40" s="98"/>
      <c r="O40" s="99"/>
      <c r="P40" s="100"/>
      <c r="Q40" s="101"/>
      <c r="R40" s="90"/>
      <c r="S40" s="90"/>
      <c r="T40" s="91"/>
      <c r="U40" s="90"/>
      <c r="V40" s="90"/>
      <c r="W40" s="90"/>
    </row>
    <row r="41" spans="2:23" ht="15" customHeight="1" x14ac:dyDescent="0.25">
      <c r="B41" s="84"/>
      <c r="C41" s="85"/>
      <c r="D41" s="83"/>
      <c r="E41" s="83"/>
      <c r="M41"/>
      <c r="N41" s="90"/>
      <c r="O41" s="92" t="s">
        <v>115</v>
      </c>
      <c r="P41" s="91">
        <f>SUM(P24:P40)</f>
        <v>412.96</v>
      </c>
      <c r="Q41" s="91">
        <f>SUM(Q24:Q40)-P41</f>
        <v>-412.96</v>
      </c>
      <c r="R41" s="90"/>
      <c r="S41" s="90"/>
      <c r="T41" s="91"/>
      <c r="U41" s="90"/>
      <c r="V41" s="90"/>
      <c r="W41" s="90"/>
    </row>
    <row r="42" spans="2:23" ht="15" customHeight="1" x14ac:dyDescent="0.25">
      <c r="D42" s="83"/>
      <c r="E42" s="83"/>
      <c r="M42"/>
      <c r="N42"/>
      <c r="O42" s="3"/>
      <c r="P42" s="33"/>
      <c r="Q42"/>
      <c r="R42"/>
    </row>
    <row r="43" spans="2:23" ht="15" customHeight="1" x14ac:dyDescent="0.25">
      <c r="M43"/>
      <c r="N43" s="31"/>
      <c r="O43" s="3"/>
      <c r="P43" s="33"/>
      <c r="Q43" s="31"/>
      <c r="R43" s="31"/>
    </row>
  </sheetData>
  <mergeCells count="26">
    <mergeCell ref="N21:T21"/>
    <mergeCell ref="R27:S27"/>
    <mergeCell ref="D2:E3"/>
    <mergeCell ref="G2:I2"/>
    <mergeCell ref="J2:K2"/>
    <mergeCell ref="M2:R2"/>
    <mergeCell ref="O4:P4"/>
    <mergeCell ref="B14:E14"/>
    <mergeCell ref="G14:K14"/>
    <mergeCell ref="G5:I5"/>
    <mergeCell ref="J5:K5"/>
    <mergeCell ref="B7:B8"/>
    <mergeCell ref="G7:I7"/>
    <mergeCell ref="J7:K7"/>
    <mergeCell ref="G8:I8"/>
    <mergeCell ref="J8:K8"/>
    <mergeCell ref="B3:B4"/>
    <mergeCell ref="G3:I3"/>
    <mergeCell ref="J3:K3"/>
    <mergeCell ref="J4:K4"/>
    <mergeCell ref="M4:N4"/>
    <mergeCell ref="G9:I9"/>
    <mergeCell ref="J9:K9"/>
    <mergeCell ref="B12:K12"/>
    <mergeCell ref="B13:C13"/>
    <mergeCell ref="G13:I13"/>
  </mergeCells>
  <conditionalFormatting sqref="B3">
    <cfRule type="cellIs" dxfId="43" priority="5" operator="lessThan">
      <formula>0</formula>
    </cfRule>
    <cfRule type="cellIs" dxfId="42" priority="6" operator="greaterThan">
      <formula>0</formula>
    </cfRule>
    <cfRule type="cellIs" dxfId="41" priority="7" operator="lessThan">
      <formula>0</formula>
    </cfRule>
  </conditionalFormatting>
  <conditionalFormatting sqref="B7">
    <cfRule type="cellIs" dxfId="40" priority="3" operator="lessThan">
      <formula>0</formula>
    </cfRule>
    <cfRule type="cellIs" dxfId="39" priority="4" operator="greaterThan">
      <formula>0</formula>
    </cfRule>
  </conditionalFormatting>
  <conditionalFormatting sqref="J9:J10 I11">
    <cfRule type="cellIs" dxfId="38" priority="1" operator="greaterThan">
      <formula>0</formula>
    </cfRule>
    <cfRule type="cellIs" dxfId="37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ED20-2AFE-4100-A13E-880357915FCC}">
  <dimension ref="B1:AC43"/>
  <sheetViews>
    <sheetView showGridLines="0" topLeftCell="A12" zoomScale="90" zoomScaleNormal="90" workbookViewId="0">
      <selection activeCell="B16" sqref="B16:K32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8.71093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56.2</v>
      </c>
      <c r="K2" s="163"/>
      <c r="M2" s="135" t="s">
        <v>55</v>
      </c>
      <c r="N2" s="135"/>
      <c r="O2" s="135"/>
      <c r="P2" s="135"/>
      <c r="Q2" s="135"/>
      <c r="R2" s="135"/>
      <c r="T2" s="116" t="s">
        <v>104</v>
      </c>
      <c r="U2" s="117"/>
      <c r="V2" s="117"/>
      <c r="W2" s="117"/>
      <c r="X2" s="117"/>
      <c r="Y2" s="117"/>
      <c r="Z2" s="117"/>
      <c r="AA2" s="90"/>
      <c r="AB2" s="90"/>
      <c r="AC2" s="90"/>
    </row>
    <row r="3" spans="2:29" s="10" customFormat="1" ht="15" customHeight="1" x14ac:dyDescent="0.25">
      <c r="B3" s="142">
        <f>SUM(Agosto!B3,K13-E13)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-4713.9599999999964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56.2</v>
      </c>
      <c r="G4" s="52"/>
      <c r="H4" s="49"/>
      <c r="I4" s="50"/>
      <c r="J4" s="154"/>
      <c r="K4" s="155"/>
      <c r="N4" s="115" t="s">
        <v>79</v>
      </c>
      <c r="O4" s="114">
        <f>SUM(N7:R11)</f>
        <v>1540.98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303.83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113.93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49.94</v>
      </c>
      <c r="W6" s="107">
        <v>49.94</v>
      </c>
      <c r="X6" s="108" t="s">
        <v>109</v>
      </c>
      <c r="Y6" s="109">
        <f>SUM(Y4-Y5)</f>
        <v>189.89999999999998</v>
      </c>
      <c r="AA6" s="90" t="s">
        <v>110</v>
      </c>
      <c r="AB6" s="90">
        <v>7003157185</v>
      </c>
    </row>
    <row r="7" spans="2:29" ht="15" customHeight="1" x14ac:dyDescent="0.25">
      <c r="B7" s="142">
        <f>SUM(J13-D13)+Agosto!B3</f>
        <v>4770.1599999999962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SUM(J5*15)/100</f>
        <v>0</v>
      </c>
      <c r="K7" s="147"/>
      <c r="M7" s="70" t="s">
        <v>24</v>
      </c>
      <c r="N7" s="72">
        <f>SUMIFS(Tabela410121518212427[VALOR],Tabela410121518212427[COMPRADOR],"Augusto",Tabela410121518212427[BANCO],"Inter")</f>
        <v>0</v>
      </c>
      <c r="O7" s="72">
        <f>SUMIFS(Tabela410121518212427[VALOR],Tabela410121518212427[COMPRADOR],"Augusto",Tabela410121518212427[BANCO],"Santander")</f>
        <v>0</v>
      </c>
      <c r="P7" s="72">
        <f>SUMIFS(Tabela410121518212427[VALOR],Tabela410121518212427[COMPRADOR],"Augusto",Tabela410121518212427[BANCO],"Mercado Pago")</f>
        <v>0</v>
      </c>
      <c r="Q7" s="73">
        <f>SUMIFS(Tabela410121518212427[VALOR],Tabela410121518212427[COMPRADOR],"Augusto",Tabela410121518212427[BANCO],"NuBank")</f>
        <v>0</v>
      </c>
      <c r="R7" s="73">
        <f>SUMIFS(Tabela410121518212427[VALOR],Tabela410121518212427[COMPRADOR],"Augusto",Tabela410121518212427[BANCO],"PicPay")</f>
        <v>0</v>
      </c>
      <c r="T7" s="98" t="s">
        <v>97</v>
      </c>
      <c r="U7" s="99"/>
      <c r="V7" s="100">
        <v>63.99</v>
      </c>
      <c r="W7" s="101">
        <v>63.99</v>
      </c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 t="s">
        <v>6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SUMIFS(Tabela410121518212427[VALOR],Tabela410121518212427[COMPRADOR],"Anna",Tabela410121518212427[BANCO],"Inter")</f>
        <v>237.9</v>
      </c>
      <c r="O8" s="72">
        <f>SUMIFS(Tabela410121518212427[VALOR],Tabela410121518212427[COMPRADOR],"Anna",Tabela410121518212427[BANCO],"Santander")</f>
        <v>25.49</v>
      </c>
      <c r="P8" s="72">
        <f>SUMIFS(Tabela410121518212427[VALOR],Tabela410121518212427[COMPRADOR],"Anna",Tabela410121518212427[BANCO],"Mercado Pago")</f>
        <v>0</v>
      </c>
      <c r="Q8" s="73">
        <f>SUMIFS(Tabela410121518212427[VALOR],Tabela410121518212427[COMPRADOR],"Anna",Tabela410121518212427[BANCO],"NuBank")</f>
        <v>0</v>
      </c>
      <c r="R8" s="73">
        <f>SUMIFS(Tabela410121518212427[VALOR],Tabela410121518212427[COMPRADOR],"Anna",Tabela410121518212427[BANCO],"PicPay")</f>
        <v>260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0</v>
      </c>
      <c r="K9" s="131"/>
      <c r="M9" s="70" t="s">
        <v>26</v>
      </c>
      <c r="N9" s="72">
        <f>SUMIFS(Tabela410121518212427[VALOR],Tabela410121518212427[COMPRADOR],"Lila",Tabela410121518212427[BANCO],"Inter")</f>
        <v>0</v>
      </c>
      <c r="O9" s="72">
        <f>SUMIFS(Tabela410121518212427[VALOR],Tabela410121518212427[COMPRADOR],"Lila",Tabela410121518212427[BANCO],"Santander")</f>
        <v>0</v>
      </c>
      <c r="P9" s="72">
        <f>SUMIFS(Tabela410121518212427[VALOR],Tabela410121518212427[COMPRADOR],"Lila",Tabela410121518212427[BANCO],"Mercado Pago")</f>
        <v>0</v>
      </c>
      <c r="Q9" s="73">
        <f>SUMIFS(Tabela410121518212427[VALOR],Tabela410121518212427[COMPRADOR],"Lila",Tabela410121518212427[BANCO],"NuBank")</f>
        <v>0</v>
      </c>
      <c r="R9" s="73">
        <f>SUMIFS(Tabela410121518212427[VALOR],Tabela410121518212427[COMPRADOR],"Lila",Tabela410121518212427[BANCO],"PicPay")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212.68099999999998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SUMIFS(Tabela410121518212427[VALOR],Tabela410121518212427[COMPRADOR],"Paula",Tabela410121518212427[BANCO],"Inter")</f>
        <v>0</v>
      </c>
      <c r="O10" s="72">
        <f>SUMIFS(Tabela410121518212427[VALOR],Tabela410121518212427[COMPRADOR],"Paula",Tabela410121518212427[BANCO],"Santander")</f>
        <v>0</v>
      </c>
      <c r="P10" s="72">
        <f>SUMIFS(Tabela410121518212427[VALOR],Tabela410121518212427[COMPRADOR],"Paula",Tabela410121518212427[BANCO],"Mercado Pago")</f>
        <v>0</v>
      </c>
      <c r="Q10" s="73">
        <f>SUMIFS(Tabela410121518212427[VALOR],Tabela410121518212427[COMPRADOR],"Paula",Tabela410121518212427[BANCO],"NuBank")</f>
        <v>0</v>
      </c>
      <c r="R10" s="73">
        <f>SUMIFS(Tabela410121518212427[VALOR],Tabela410121518212427[COMPRADOR],"Paula",Tabela410121518212427[BANCO],"PicPay")</f>
        <v>1017.59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27</v>
      </c>
      <c r="N11" s="74">
        <f>SUMIFS(Tabela410121518212427[VALOR],Tabela410121518212427[COMPRADOR],"Jader",Tabela410121518212427[BANCO],"Inter")</f>
        <v>0</v>
      </c>
      <c r="O11" s="74">
        <f>SUMIFS(Tabela410121518212427[VALOR],Tabela410121518212427[COMPRADOR],"Jader",Tabela410121518212427[BANCO],"Santander")</f>
        <v>0</v>
      </c>
      <c r="P11" s="74">
        <f>SUMIFS(Tabela410121518212427[VALOR],Tabela410121518212427[COMPRADOR],"Jader",Tabela410121518212427[BANCO],"Mercado Pago")</f>
        <v>0</v>
      </c>
      <c r="Q11" s="75">
        <f>SUMIFS(Tabela410121518212427[VALOR],Tabela410121518212427[COMPRADOR],"Jader",Tabela410121518212427[BANCO],"NuBank")</f>
        <v>0</v>
      </c>
      <c r="R11" s="75">
        <f>SUMIFS(Tabela410121518212427[VALOR],Tabela410121518212427[COMPRADOR],"Jader",Tabela410121518212427[BANCO],"PicPay")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91.149000000000001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5">
      <c r="B13" s="133" t="s">
        <v>8</v>
      </c>
      <c r="C13" s="133"/>
      <c r="D13" s="88">
        <f>SUM(D16:D31)</f>
        <v>0</v>
      </c>
      <c r="E13" s="88">
        <f>SUM(E16:E31)</f>
        <v>0</v>
      </c>
      <c r="F13" s="77"/>
      <c r="G13" s="134" t="s">
        <v>8</v>
      </c>
      <c r="H13" s="134"/>
      <c r="I13" s="134"/>
      <c r="J13" s="88">
        <f>SUM(J16:J32)</f>
        <v>0</v>
      </c>
      <c r="K13" s="88">
        <f>SUM(K16:K32)</f>
        <v>0</v>
      </c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 t="s">
        <v>122</v>
      </c>
      <c r="O14" s="3">
        <v>1017.59</v>
      </c>
      <c r="P14" s="33">
        <v>45818</v>
      </c>
      <c r="Q14" s="31" t="s">
        <v>54</v>
      </c>
      <c r="R14" s="31" t="s">
        <v>98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 t="s">
        <v>121</v>
      </c>
      <c r="O15" s="3">
        <v>260</v>
      </c>
      <c r="P15" s="33"/>
      <c r="Q15" s="31" t="s">
        <v>25</v>
      </c>
      <c r="R15" s="31" t="s">
        <v>98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/>
      <c r="C16" s="76"/>
      <c r="D16" s="3"/>
      <c r="E16" s="3"/>
      <c r="F16"/>
      <c r="G16" s="31"/>
      <c r="H16" s="31"/>
      <c r="I16" s="32"/>
      <c r="J16" s="3"/>
      <c r="K16" s="3"/>
      <c r="M16"/>
      <c r="N16" s="31" t="s">
        <v>56</v>
      </c>
      <c r="O16" s="3">
        <v>5.56</v>
      </c>
      <c r="P16" s="33">
        <v>45877</v>
      </c>
      <c r="Q16" s="31" t="s">
        <v>25</v>
      </c>
      <c r="R16" s="31" t="s">
        <v>52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/>
      <c r="C17" s="76"/>
      <c r="D17" s="86"/>
      <c r="E17" s="3"/>
      <c r="F17"/>
      <c r="G17" s="31"/>
      <c r="H17" s="31"/>
      <c r="I17" s="32"/>
      <c r="J17" s="3"/>
      <c r="K17" s="3"/>
      <c r="M17"/>
      <c r="N17" s="31" t="s">
        <v>56</v>
      </c>
      <c r="O17" s="3">
        <v>10.95</v>
      </c>
      <c r="P17" s="33">
        <v>45888</v>
      </c>
      <c r="Q17" s="31" t="s">
        <v>25</v>
      </c>
      <c r="R17" s="31" t="s">
        <v>52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/>
      <c r="C18" s="32"/>
      <c r="D18" s="86"/>
      <c r="E18" s="3"/>
      <c r="F18"/>
      <c r="G18" s="31"/>
      <c r="H18" s="31"/>
      <c r="I18" s="32"/>
      <c r="J18" s="3"/>
      <c r="K18" s="3"/>
      <c r="M18"/>
      <c r="N18" s="31" t="s">
        <v>56</v>
      </c>
      <c r="O18" s="3">
        <v>8.98</v>
      </c>
      <c r="P18" s="33">
        <v>45888</v>
      </c>
      <c r="Q18" s="31" t="s">
        <v>25</v>
      </c>
      <c r="R18" s="31" t="s">
        <v>52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/>
      <c r="C19" s="76"/>
      <c r="D19" s="12"/>
      <c r="E19" s="3"/>
      <c r="F19"/>
      <c r="G19" s="31"/>
      <c r="H19" s="31"/>
      <c r="I19" s="32"/>
      <c r="J19" s="3"/>
      <c r="K19" s="3"/>
      <c r="M19"/>
      <c r="N19" s="31"/>
      <c r="O19" s="3"/>
      <c r="P19" s="118"/>
      <c r="Q19" s="31"/>
      <c r="R19" s="31"/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/>
      <c r="C20" s="76"/>
      <c r="D20" s="12"/>
      <c r="E20" s="86"/>
      <c r="F20"/>
      <c r="G20" s="31"/>
      <c r="H20" s="31"/>
      <c r="I20" s="32"/>
      <c r="J20" s="3"/>
      <c r="K20" s="3"/>
      <c r="M20"/>
      <c r="N20" s="84" t="s">
        <v>117</v>
      </c>
      <c r="O20" s="12">
        <v>237.9</v>
      </c>
      <c r="P20" s="39">
        <v>45892</v>
      </c>
      <c r="Q20" s="84" t="s">
        <v>25</v>
      </c>
      <c r="R20" s="84" t="s">
        <v>5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/>
      <c r="C21" s="76"/>
      <c r="D21" s="12"/>
      <c r="E21" s="86"/>
      <c r="F21"/>
      <c r="G21" s="31"/>
      <c r="H21" s="31"/>
      <c r="I21" s="30"/>
      <c r="J21" s="86"/>
      <c r="K21" s="86"/>
      <c r="M21"/>
      <c r="O21" s="12"/>
      <c r="P21" s="30"/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/>
      <c r="C22" s="76"/>
      <c r="D22" s="12"/>
      <c r="E22" s="86"/>
      <c r="F22"/>
      <c r="G22" s="31"/>
      <c r="H22" s="31"/>
      <c r="I22" s="32"/>
      <c r="J22" s="86"/>
      <c r="K22" s="86"/>
      <c r="M22"/>
      <c r="T22" s="90"/>
      <c r="U22" s="92" t="s">
        <v>115</v>
      </c>
      <c r="V22" s="91">
        <f>SUM(V5:V21)</f>
        <v>303.83</v>
      </c>
      <c r="W22" s="91">
        <f>SUM(W5:W21)-V22</f>
        <v>-189.89999999999998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31"/>
      <c r="C23" s="76"/>
      <c r="D23" s="3"/>
      <c r="E23" s="3"/>
      <c r="F23"/>
      <c r="G23" s="31"/>
      <c r="H23" s="31"/>
      <c r="I23" s="32"/>
      <c r="J23" s="86"/>
      <c r="K23" s="86"/>
      <c r="M23"/>
    </row>
    <row r="24" spans="2:29" ht="15" customHeight="1" x14ac:dyDescent="0.25">
      <c r="D24" s="86"/>
      <c r="E24" s="86"/>
      <c r="F24"/>
      <c r="G24" s="31"/>
      <c r="H24" s="31"/>
      <c r="I24" s="32"/>
      <c r="J24" s="3"/>
      <c r="K24" s="3"/>
      <c r="M24"/>
    </row>
    <row r="25" spans="2:29" ht="15" customHeight="1" x14ac:dyDescent="0.25">
      <c r="B25" s="84"/>
      <c r="C25" s="85"/>
      <c r="D25" s="86"/>
      <c r="E25" s="86"/>
      <c r="F25"/>
      <c r="G25" s="31"/>
      <c r="H25" s="31"/>
      <c r="I25" s="32"/>
      <c r="J25" s="3"/>
      <c r="K25" s="3"/>
      <c r="M25"/>
    </row>
    <row r="26" spans="2:29" ht="15" customHeight="1" x14ac:dyDescent="0.25">
      <c r="D26" s="3"/>
      <c r="E26" s="3"/>
      <c r="F26"/>
      <c r="G26" s="31"/>
      <c r="H26" s="31"/>
      <c r="I26" s="32"/>
      <c r="J26" s="3"/>
      <c r="K26" s="3"/>
      <c r="M26"/>
    </row>
    <row r="27" spans="2:29" ht="15" customHeight="1" x14ac:dyDescent="0.25">
      <c r="D27" s="3"/>
      <c r="E27" s="3"/>
      <c r="F27"/>
      <c r="G27" s="31"/>
      <c r="H27" s="31"/>
      <c r="I27" s="32"/>
      <c r="J27" s="3"/>
      <c r="K27" s="3"/>
      <c r="M27"/>
    </row>
    <row r="28" spans="2:29" ht="15" customHeight="1" x14ac:dyDescent="0.25">
      <c r="B28"/>
      <c r="C28" s="30"/>
      <c r="D28" s="3"/>
      <c r="E28" s="3"/>
      <c r="F28"/>
      <c r="G28" s="31"/>
      <c r="H28" s="31"/>
      <c r="I28" s="32"/>
      <c r="J28" s="3"/>
      <c r="K28" s="3"/>
      <c r="M28"/>
    </row>
    <row r="29" spans="2:29" ht="15" customHeight="1" x14ac:dyDescent="0.25">
      <c r="B29" s="31"/>
      <c r="C29" s="32"/>
      <c r="D29" s="86"/>
      <c r="E29" s="86"/>
      <c r="F29"/>
      <c r="G29" s="31"/>
      <c r="H29" s="31"/>
      <c r="I29" s="32"/>
      <c r="J29" s="3"/>
      <c r="K29" s="3"/>
      <c r="M29"/>
    </row>
    <row r="30" spans="2:29" s="10" customFormat="1" ht="15" customHeight="1" x14ac:dyDescent="0.25">
      <c r="B30"/>
      <c r="C30" s="30"/>
      <c r="D30" s="86"/>
      <c r="E30" s="86"/>
      <c r="F30"/>
      <c r="G30" s="31"/>
      <c r="H30" s="31"/>
      <c r="I30" s="32"/>
      <c r="J30" s="3"/>
      <c r="K30" s="3"/>
      <c r="M30"/>
    </row>
    <row r="31" spans="2:29" ht="15" customHeight="1" x14ac:dyDescent="0.25">
      <c r="B31"/>
      <c r="C31" s="30"/>
      <c r="D31" s="3"/>
      <c r="E31" s="3"/>
      <c r="F31"/>
      <c r="G31" s="31"/>
      <c r="H31" s="31"/>
      <c r="I31" s="32"/>
      <c r="J31" s="3"/>
      <c r="K31" s="3"/>
      <c r="M31"/>
    </row>
    <row r="32" spans="2:29" ht="15" customHeight="1" x14ac:dyDescent="0.25">
      <c r="B32"/>
      <c r="C32" s="30"/>
      <c r="D32" s="3"/>
      <c r="E32" s="3"/>
      <c r="F32"/>
      <c r="G32"/>
      <c r="H32"/>
      <c r="I32" s="30"/>
      <c r="J32" s="3"/>
      <c r="K32" s="3"/>
      <c r="M32"/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3">
    <mergeCell ref="B13:C13"/>
    <mergeCell ref="G13:I13"/>
    <mergeCell ref="B14:E14"/>
    <mergeCell ref="G14:K14"/>
    <mergeCell ref="G5:I5"/>
    <mergeCell ref="J5:K5"/>
    <mergeCell ref="B7:B8"/>
    <mergeCell ref="G7:I7"/>
    <mergeCell ref="J7:K7"/>
    <mergeCell ref="G8:I8"/>
    <mergeCell ref="J8:K8"/>
    <mergeCell ref="M2:R2"/>
    <mergeCell ref="X8:Y8"/>
    <mergeCell ref="G9:I9"/>
    <mergeCell ref="J9:K9"/>
    <mergeCell ref="B12:K12"/>
    <mergeCell ref="D2:E3"/>
    <mergeCell ref="G2:I2"/>
    <mergeCell ref="J2:K2"/>
    <mergeCell ref="B3:B4"/>
    <mergeCell ref="G3:I3"/>
    <mergeCell ref="J3:K3"/>
    <mergeCell ref="J4:K4"/>
  </mergeCells>
  <conditionalFormatting sqref="B3">
    <cfRule type="cellIs" dxfId="36" priority="5" operator="lessThan">
      <formula>0</formula>
    </cfRule>
    <cfRule type="cellIs" dxfId="35" priority="6" operator="greaterThan">
      <formula>0</formula>
    </cfRule>
    <cfRule type="cellIs" dxfId="34" priority="7" operator="lessThan">
      <formula>0</formula>
    </cfRule>
  </conditionalFormatting>
  <conditionalFormatting sqref="B7">
    <cfRule type="cellIs" dxfId="33" priority="3" operator="lessThan">
      <formula>0</formula>
    </cfRule>
    <cfRule type="cellIs" dxfId="32" priority="4" operator="greaterThan">
      <formula>0</formula>
    </cfRule>
  </conditionalFormatting>
  <conditionalFormatting sqref="J9:J10 I11">
    <cfRule type="cellIs" dxfId="31" priority="1" operator="greaterThan">
      <formula>0</formula>
    </cfRule>
    <cfRule type="cellIs" dxfId="30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8FFF-E5E5-47C7-A822-8F8A0C10754F}">
  <dimension ref="B1:AC43"/>
  <sheetViews>
    <sheetView showGridLines="0" topLeftCell="A13" zoomScale="90" zoomScaleNormal="90" workbookViewId="0">
      <selection activeCell="B16" sqref="B16:K33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8.71093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0</v>
      </c>
      <c r="K2" s="163"/>
      <c r="M2" s="135" t="s">
        <v>127</v>
      </c>
      <c r="N2" s="135"/>
      <c r="O2" s="135"/>
      <c r="P2" s="135"/>
      <c r="Q2" s="135"/>
      <c r="R2" s="135"/>
      <c r="T2" s="116" t="s">
        <v>104</v>
      </c>
      <c r="U2" s="117"/>
      <c r="V2" s="117"/>
      <c r="W2" s="117"/>
      <c r="X2" s="117"/>
      <c r="Y2" s="117"/>
      <c r="Z2" s="117"/>
      <c r="AA2" s="90"/>
      <c r="AB2" s="90"/>
      <c r="AC2" s="90"/>
    </row>
    <row r="3" spans="2:29" s="10" customFormat="1" ht="15" customHeight="1" x14ac:dyDescent="0.25">
      <c r="B3" s="142">
        <f>SUM(Setembro!B3,K13-E13)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-4770.1599999999962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2169.59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376.44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186.54000000000002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90.9</v>
      </c>
      <c r="W6" s="107">
        <v>90.9</v>
      </c>
      <c r="X6" s="108" t="s">
        <v>109</v>
      </c>
      <c r="Y6" s="109">
        <f>SUM(Y4-Y5)</f>
        <v>189.89999999999998</v>
      </c>
      <c r="AA6" s="90" t="s">
        <v>110</v>
      </c>
      <c r="AB6" s="90">
        <v>7003157185</v>
      </c>
    </row>
    <row r="7" spans="2:29" ht="15" customHeight="1" x14ac:dyDescent="0.25">
      <c r="B7" s="142">
        <f>SUM(J13-D13)+Setembro!B3</f>
        <v>4770.1599999999962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SUM(J5*15)/100</f>
        <v>0</v>
      </c>
      <c r="K7" s="147"/>
      <c r="M7" s="70" t="s">
        <v>24</v>
      </c>
      <c r="N7" s="72">
        <f>SUMIFS(Tabela41012151821242730[VALOR],Tabela41012151821242730[COMPRADOR],"Augusto",Tabela41012151821242730[BANCO],"Inter")</f>
        <v>0</v>
      </c>
      <c r="O7" s="72">
        <f>SUMIFS(Tabela41012151821242730[VALOR],Tabela41012151821242730[COMPRADOR],"Augusto",Tabela41012151821242730[BANCO],"Santander")</f>
        <v>0</v>
      </c>
      <c r="P7" s="72">
        <f>SUMIFS(Tabela41012151821242730[VALOR],Tabela41012151821242730[COMPRADOR],"Augusto",Tabela41012151821242730[BANCO],"Mercado Pago")</f>
        <v>0</v>
      </c>
      <c r="Q7" s="73">
        <f>SUMIFS(Tabela41012151821242730[VALOR],Tabela41012151821242730[COMPRADOR],"Augusto",Tabela41012151821242730[BANCO],"NuBank")</f>
        <v>0</v>
      </c>
      <c r="R7" s="73">
        <f>SUMIFS(Tabela41012151821242730[VALOR],Tabela41012151821242730[COMPRADOR],"Augusto",Tabela41012151821242730[BANCO],"PicPay")</f>
        <v>0</v>
      </c>
      <c r="T7" s="98" t="s">
        <v>97</v>
      </c>
      <c r="U7" s="99"/>
      <c r="V7" s="100">
        <v>95.64</v>
      </c>
      <c r="W7" s="101">
        <v>95.64</v>
      </c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SUMIFS(Tabela41012151821242730[VALOR],Tabela41012151821242730[COMPRADOR],"Anna",Tabela41012151821242730[BANCO],"Inter")</f>
        <v>440</v>
      </c>
      <c r="O8" s="72">
        <f>SUMIFS(Tabela41012151821242730[VALOR],Tabela41012151821242730[COMPRADOR],"Anna",Tabela41012151821242730[BANCO],"Santander")</f>
        <v>0</v>
      </c>
      <c r="P8" s="72">
        <f>SUMIFS(Tabela41012151821242730[VALOR],Tabela41012151821242730[COMPRADOR],"Anna",Tabela41012151821242730[BANCO],"Mercado Pago")</f>
        <v>0</v>
      </c>
      <c r="Q8" s="73">
        <f>SUMIFS(Tabela41012151821242730[VALOR],Tabela41012151821242730[COMPRADOR],"Anna",Tabela41012151821242730[BANCO],"NuBank")</f>
        <v>0</v>
      </c>
      <c r="R8" s="73">
        <f>SUMIFS(Tabela41012151821242730[VALOR],Tabela41012151821242730[COMPRADOR],"Anna",Tabela41012151821242730[BANCO],"PicPay")</f>
        <v>712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0</v>
      </c>
      <c r="K9" s="131"/>
      <c r="M9" s="70" t="s">
        <v>26</v>
      </c>
      <c r="N9" s="72">
        <f>SUMIFS(Tabela41012151821242730[VALOR],Tabela41012151821242730[COMPRADOR],"Lila",Tabela41012151821242730[BANCO],"Inter")</f>
        <v>0</v>
      </c>
      <c r="O9" s="72">
        <f>SUMIFS(Tabela41012151821242730[VALOR],Tabela41012151821242730[COMPRADOR],"Lila",Tabela41012151821242730[BANCO],"Santander")</f>
        <v>0</v>
      </c>
      <c r="P9" s="72">
        <f>SUMIFS(Tabela41012151821242730[VALOR],Tabela41012151821242730[COMPRADOR],"Lila",Tabela41012151821242730[BANCO],"Mercado Pago")</f>
        <v>0</v>
      </c>
      <c r="Q9" s="73">
        <f>SUMIFS(Tabela41012151821242730[VALOR],Tabela41012151821242730[COMPRADOR],"Lila",Tabela41012151821242730[BANCO],"NuBank")</f>
        <v>0</v>
      </c>
      <c r="R9" s="73">
        <f>SUMIFS(Tabela41012151821242730[VALOR],Tabela41012151821242730[COMPRADOR],"Lila",Tabela41012151821242730[BANCO],"PicPay")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263.50799999999998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SUMIFS(Tabela41012151821242730[VALOR],Tabela41012151821242730[COMPRADOR],"Paula",Tabela41012151821242730[BANCO],"Inter")</f>
        <v>0</v>
      </c>
      <c r="O10" s="72">
        <f>SUMIFS(Tabela41012151821242730[VALOR],Tabela41012151821242730[COMPRADOR],"Paula",Tabela41012151821242730[BANCO],"Santander")</f>
        <v>0</v>
      </c>
      <c r="P10" s="72">
        <f>SUMIFS(Tabela41012151821242730[VALOR],Tabela41012151821242730[COMPRADOR],"Paula",Tabela41012151821242730[BANCO],"Mercado Pago")</f>
        <v>0</v>
      </c>
      <c r="Q10" s="73">
        <f>SUMIFS(Tabela41012151821242730[VALOR],Tabela41012151821242730[COMPRADOR],"Paula",Tabela41012151821242730[BANCO],"NuBank")</f>
        <v>0</v>
      </c>
      <c r="R10" s="73">
        <f>SUMIFS(Tabela41012151821242730[VALOR],Tabela41012151821242730[COMPRADOR],"Paula",Tabela41012151821242730[BANCO],"PicPay")</f>
        <v>1017.59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27</v>
      </c>
      <c r="N11" s="74">
        <f>SUMIFS(Tabela41012151821242730[VALOR],Tabela41012151821242730[COMPRADOR],"Jader",Tabela41012151821242730[BANCO],"Inter")</f>
        <v>0</v>
      </c>
      <c r="O11" s="74">
        <f>SUMIFS(Tabela41012151821242730[VALOR],Tabela41012151821242730[COMPRADOR],"Jader",Tabela41012151821242730[BANCO],"Santander")</f>
        <v>0</v>
      </c>
      <c r="P11" s="74">
        <f>SUMIFS(Tabela41012151821242730[VALOR],Tabela41012151821242730[COMPRADOR],"Jader",Tabela41012151821242730[BANCO],"Mercado Pago")</f>
        <v>0</v>
      </c>
      <c r="Q11" s="75">
        <f>SUMIFS(Tabela41012151821242730[VALOR],Tabela41012151821242730[COMPRADOR],"Jader",Tabela41012151821242730[BANCO],"NuBank")</f>
        <v>0</v>
      </c>
      <c r="R11" s="75">
        <f>SUMIFS(Tabela41012151821242730[VALOR],Tabela41012151821242730[COMPRADOR],"Jader",Tabela41012151821242730[BANCO],"PicPay")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112.932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5">
      <c r="B13" s="133" t="s">
        <v>8</v>
      </c>
      <c r="C13" s="133"/>
      <c r="D13" s="88">
        <f>SUM(D16:D32)</f>
        <v>0</v>
      </c>
      <c r="E13" s="88">
        <f>SUM(E16:E32)</f>
        <v>0</v>
      </c>
      <c r="F13" s="77"/>
      <c r="G13" s="134" t="s">
        <v>8</v>
      </c>
      <c r="H13" s="134"/>
      <c r="I13" s="134"/>
      <c r="J13" s="88">
        <f>SUM(J16:J29)</f>
        <v>0</v>
      </c>
      <c r="K13" s="88">
        <f>SUM(K16:K29)</f>
        <v>0</v>
      </c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 t="s">
        <v>123</v>
      </c>
      <c r="O14" s="3">
        <v>1017.59</v>
      </c>
      <c r="P14" s="33">
        <v>45818</v>
      </c>
      <c r="Q14" s="31" t="s">
        <v>54</v>
      </c>
      <c r="R14" s="31" t="s">
        <v>98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 t="s">
        <v>125</v>
      </c>
      <c r="O15" s="3">
        <v>712</v>
      </c>
      <c r="P15" s="33"/>
      <c r="Q15" s="31" t="s">
        <v>25</v>
      </c>
      <c r="R15" s="31" t="s">
        <v>98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/>
      <c r="C16" s="76"/>
      <c r="D16" s="3"/>
      <c r="E16" s="3"/>
      <c r="F16"/>
      <c r="G16" s="31"/>
      <c r="H16" s="31"/>
      <c r="I16" s="32"/>
      <c r="J16" s="3"/>
      <c r="K16" s="3"/>
      <c r="M16"/>
      <c r="N16" s="31" t="s">
        <v>81</v>
      </c>
      <c r="O16" s="3">
        <v>200</v>
      </c>
      <c r="P16" s="33"/>
      <c r="Q16" s="31" t="s">
        <v>25</v>
      </c>
      <c r="R16" s="31" t="s">
        <v>5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/>
      <c r="C17" s="76"/>
      <c r="D17" s="86"/>
      <c r="E17" s="3"/>
      <c r="F17"/>
      <c r="G17" s="31"/>
      <c r="H17" s="31"/>
      <c r="I17" s="32"/>
      <c r="J17" s="3"/>
      <c r="K17" s="3"/>
      <c r="M17"/>
      <c r="N17" s="31" t="s">
        <v>126</v>
      </c>
      <c r="O17" s="3">
        <v>240</v>
      </c>
      <c r="P17" s="33"/>
      <c r="Q17" s="31" t="s">
        <v>25</v>
      </c>
      <c r="R17" s="31" t="s">
        <v>5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/>
      <c r="C18" s="32"/>
      <c r="D18" s="86"/>
      <c r="E18" s="3"/>
      <c r="F18"/>
      <c r="G18" s="31"/>
      <c r="H18" s="31"/>
      <c r="I18" s="32"/>
      <c r="J18" s="3"/>
      <c r="K18" s="3"/>
      <c r="M18"/>
      <c r="N18" s="31"/>
      <c r="O18" s="3"/>
      <c r="P18" s="33"/>
      <c r="Q18" s="31"/>
      <c r="R18" s="31"/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/>
      <c r="C19" s="76"/>
      <c r="D19" s="12"/>
      <c r="E19" s="3"/>
      <c r="F19"/>
      <c r="G19" s="31"/>
      <c r="H19" s="31"/>
      <c r="I19" s="32"/>
      <c r="J19" s="3"/>
      <c r="K19" s="3"/>
      <c r="M19"/>
      <c r="N19" s="31"/>
      <c r="O19" s="3"/>
      <c r="P19" s="118"/>
      <c r="Q19" s="31"/>
      <c r="R19" s="31"/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/>
      <c r="C20" s="76"/>
      <c r="D20" s="12"/>
      <c r="E20" s="86"/>
      <c r="F20"/>
      <c r="G20" s="31"/>
      <c r="H20" s="31"/>
      <c r="I20" s="32"/>
      <c r="J20" s="3"/>
      <c r="K20" s="3"/>
      <c r="M20"/>
      <c r="N20" s="84"/>
      <c r="O20" s="12"/>
      <c r="P20" s="39"/>
      <c r="Q20" s="84"/>
      <c r="R20" s="84"/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/>
      <c r="C21" s="76"/>
      <c r="D21" s="12"/>
      <c r="E21" s="86"/>
      <c r="F21"/>
      <c r="G21" s="31"/>
      <c r="H21" s="31"/>
      <c r="I21" s="30"/>
      <c r="J21" s="86"/>
      <c r="K21" s="86"/>
      <c r="M21"/>
      <c r="O21" s="12"/>
      <c r="P21" s="30"/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/>
      <c r="C22" s="76"/>
      <c r="D22" s="12"/>
      <c r="E22" s="86"/>
      <c r="F22"/>
      <c r="G22" s="31"/>
      <c r="H22" s="31"/>
      <c r="I22" s="32"/>
      <c r="J22" s="86"/>
      <c r="K22" s="86"/>
      <c r="M22"/>
      <c r="T22" s="90"/>
      <c r="U22" s="92" t="s">
        <v>115</v>
      </c>
      <c r="V22" s="91">
        <f>SUM(V5:V21)</f>
        <v>376.44</v>
      </c>
      <c r="W22" s="91">
        <f>SUM(W5:W21)-V22</f>
        <v>-189.89999999999998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31"/>
      <c r="C23" s="76"/>
      <c r="D23" s="3"/>
      <c r="E23" s="3"/>
      <c r="F23"/>
      <c r="G23" s="31"/>
      <c r="H23" s="31"/>
      <c r="I23" s="32"/>
      <c r="J23" s="86"/>
      <c r="K23" s="86"/>
      <c r="M23"/>
    </row>
    <row r="24" spans="2:29" ht="15" customHeight="1" x14ac:dyDescent="0.25">
      <c r="D24" s="86"/>
      <c r="E24" s="86"/>
      <c r="F24"/>
      <c r="G24" s="31"/>
      <c r="H24" s="31"/>
      <c r="I24" s="32"/>
      <c r="J24" s="3"/>
      <c r="K24" s="3"/>
      <c r="M24"/>
    </row>
    <row r="25" spans="2:29" ht="15" customHeight="1" x14ac:dyDescent="0.25">
      <c r="B25" s="84"/>
      <c r="C25" s="85"/>
      <c r="D25" s="86"/>
      <c r="E25" s="86"/>
      <c r="F25"/>
      <c r="G25" s="31"/>
      <c r="H25" s="31"/>
      <c r="I25" s="32"/>
      <c r="J25" s="3"/>
      <c r="K25" s="3"/>
      <c r="M25"/>
    </row>
    <row r="26" spans="2:29" ht="15" customHeight="1" x14ac:dyDescent="0.25">
      <c r="B26" s="84"/>
      <c r="C26" s="85"/>
      <c r="D26" s="3"/>
      <c r="E26" s="3"/>
      <c r="F26"/>
      <c r="G26" s="31"/>
      <c r="H26" s="31"/>
      <c r="I26" s="32"/>
      <c r="J26" s="3"/>
      <c r="K26" s="3"/>
      <c r="M26"/>
    </row>
    <row r="27" spans="2:29" ht="15" customHeight="1" x14ac:dyDescent="0.25">
      <c r="B27" s="84"/>
      <c r="C27" s="85"/>
      <c r="D27" s="3"/>
      <c r="E27" s="3"/>
      <c r="F27"/>
      <c r="G27" s="31"/>
      <c r="H27" s="31"/>
      <c r="I27" s="32"/>
      <c r="J27" s="3"/>
      <c r="K27" s="3"/>
      <c r="M27"/>
    </row>
    <row r="28" spans="2:29" ht="15" customHeight="1" x14ac:dyDescent="0.25">
      <c r="B28" s="31"/>
      <c r="C28" s="32"/>
      <c r="D28" s="3"/>
      <c r="E28" s="3"/>
      <c r="F28"/>
      <c r="G28" s="31"/>
      <c r="H28" s="31"/>
      <c r="I28" s="32"/>
      <c r="J28" s="3"/>
      <c r="K28" s="3"/>
      <c r="M28"/>
    </row>
    <row r="29" spans="2:29" ht="15" customHeight="1" x14ac:dyDescent="0.25">
      <c r="B29" s="31"/>
      <c r="C29" s="32"/>
      <c r="D29" s="86"/>
      <c r="E29" s="86"/>
      <c r="F29"/>
      <c r="G29" s="31"/>
      <c r="H29" s="31"/>
      <c r="I29" s="32"/>
      <c r="J29" s="3"/>
      <c r="K29" s="3"/>
      <c r="M29"/>
    </row>
    <row r="30" spans="2:29" s="10" customFormat="1" ht="15" customHeight="1" x14ac:dyDescent="0.25">
      <c r="B30"/>
      <c r="C30" s="30"/>
      <c r="D30" s="86"/>
      <c r="E30" s="86"/>
      <c r="F30"/>
      <c r="G30" s="31"/>
      <c r="H30" s="31"/>
      <c r="I30" s="32"/>
      <c r="J30" s="86"/>
      <c r="K30" s="86"/>
      <c r="M30"/>
    </row>
    <row r="31" spans="2:29" ht="15" customHeight="1" x14ac:dyDescent="0.25">
      <c r="B31"/>
      <c r="C31" s="30"/>
      <c r="D31" s="3"/>
      <c r="E31" s="3"/>
      <c r="F31"/>
      <c r="G31" s="31"/>
      <c r="H31" s="31"/>
      <c r="I31" s="32"/>
      <c r="J31" s="86"/>
      <c r="K31" s="86"/>
      <c r="M31"/>
    </row>
    <row r="32" spans="2:29" ht="15" customHeight="1" x14ac:dyDescent="0.25">
      <c r="B32" s="31"/>
      <c r="C32" s="30"/>
      <c r="D32" s="3"/>
      <c r="E32" s="3"/>
      <c r="F32"/>
      <c r="G32"/>
      <c r="H32"/>
      <c r="I32" s="30"/>
      <c r="J32" s="86"/>
      <c r="K32" s="86"/>
      <c r="M32"/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3">
    <mergeCell ref="D2:E3"/>
    <mergeCell ref="G2:I2"/>
    <mergeCell ref="J2:K2"/>
    <mergeCell ref="M2:R2"/>
    <mergeCell ref="B3:B4"/>
    <mergeCell ref="G3:I3"/>
    <mergeCell ref="J3:K3"/>
    <mergeCell ref="J4:K4"/>
    <mergeCell ref="G5:I5"/>
    <mergeCell ref="J5:K5"/>
    <mergeCell ref="B7:B8"/>
    <mergeCell ref="G7:I7"/>
    <mergeCell ref="J7:K7"/>
    <mergeCell ref="G8:I8"/>
    <mergeCell ref="J8:K8"/>
    <mergeCell ref="B14:E14"/>
    <mergeCell ref="G14:K14"/>
    <mergeCell ref="X8:Y8"/>
    <mergeCell ref="G9:I9"/>
    <mergeCell ref="J9:K9"/>
    <mergeCell ref="B12:K12"/>
    <mergeCell ref="B13:C13"/>
    <mergeCell ref="G13:I13"/>
  </mergeCells>
  <conditionalFormatting sqref="B3">
    <cfRule type="cellIs" dxfId="29" priority="5" operator="lessThan">
      <formula>0</formula>
    </cfRule>
    <cfRule type="cellIs" dxfId="28" priority="6" operator="greaterThan">
      <formula>0</formula>
    </cfRule>
    <cfRule type="cellIs" dxfId="27" priority="7" operator="lessThan">
      <formula>0</formula>
    </cfRule>
  </conditionalFormatting>
  <conditionalFormatting sqref="B7">
    <cfRule type="cellIs" dxfId="26" priority="3" operator="lessThan">
      <formula>0</formula>
    </cfRule>
    <cfRule type="cellIs" dxfId="25" priority="4" operator="greaterThan">
      <formula>0</formula>
    </cfRule>
  </conditionalFormatting>
  <conditionalFormatting sqref="J9:J10 I11">
    <cfRule type="cellIs" dxfId="24" priority="1" operator="greaterThan">
      <formula>0</formula>
    </cfRule>
    <cfRule type="cellIs" dxfId="23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9F56-3342-4716-B753-CFFE1AF1B14B}">
  <dimension ref="B1:AC43"/>
  <sheetViews>
    <sheetView showGridLines="0" topLeftCell="A13" zoomScale="90" zoomScaleNormal="90" workbookViewId="0">
      <selection activeCell="B16" sqref="B16:K33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0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SUM(Outubro!B3,K13-E13)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-4770.1599999999962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8160.14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371.83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61.6</v>
      </c>
      <c r="W6" s="107"/>
      <c r="X6" s="108" t="s">
        <v>109</v>
      </c>
      <c r="Y6" s="109">
        <f>SUM(Y4-Y5)</f>
        <v>371.83</v>
      </c>
      <c r="AA6" s="90" t="s">
        <v>110</v>
      </c>
      <c r="AB6" s="90">
        <v>7003157185</v>
      </c>
    </row>
    <row r="7" spans="2:29" ht="15" customHeight="1" x14ac:dyDescent="0.25">
      <c r="B7" s="142">
        <f>SUM(J13-D13)+Outubro!B3</f>
        <v>4770.1599999999962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SUM(J5*15)/100</f>
        <v>0</v>
      </c>
      <c r="K7" s="147"/>
      <c r="M7" s="70" t="s">
        <v>24</v>
      </c>
      <c r="N7" s="72">
        <f>SUMIFS(Tabela4101215182124273033[VALOR],Tabela4101215182124273033[COMPRADOR],"Augusto",Tabela4101215182124273033[BANCO],"Inter")</f>
        <v>0</v>
      </c>
      <c r="O7" s="72">
        <f>SUMIFS(Tabela4101215182124273033[VALOR],Tabela4101215182124273033[COMPRADOR],"Augusto",Tabela4101215182124273033[BANCO],"Santander")</f>
        <v>0</v>
      </c>
      <c r="P7" s="72">
        <f>SUMIFS(Tabela4101215182124273033[VALOR],Tabela4101215182124273033[COMPRADOR],"Augusto",Tabela4101215182124273033[BANCO],"Mercado Pago")</f>
        <v>0</v>
      </c>
      <c r="Q7" s="73">
        <f>SUMIFS(Tabela4101215182124273033[VALOR],Tabela4101215182124273033[COMPRADOR],"Augusto",Tabela4101215182124273033[BANCO],"NuBank")</f>
        <v>0</v>
      </c>
      <c r="R7" s="73">
        <f>SUMIFS(Tabela4101215182124273033[VALOR],Tabela4101215182124273033[COMPRADOR],"Augusto",Tabela4101215182124273033[BANCO],"PicPay")</f>
        <v>0</v>
      </c>
      <c r="T7" s="98" t="s">
        <v>97</v>
      </c>
      <c r="U7" s="99"/>
      <c r="V7" s="100">
        <v>120.33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SUMIFS(Tabela4101215182124273033[VALOR],Tabela4101215182124273033[COMPRADOR],"Anna",Tabela4101215182124273033[BANCO],"Inter")</f>
        <v>0</v>
      </c>
      <c r="O8" s="72">
        <f>SUMIFS(Tabela4101215182124273033[VALOR],Tabela4101215182124273033[COMPRADOR],"Anna",Tabela4101215182124273033[BANCO],"Santander")</f>
        <v>0</v>
      </c>
      <c r="P8" s="72">
        <f>SUMIFS(Tabela4101215182124273033[VALOR],Tabela4101215182124273033[COMPRADOR],"Anna",Tabela4101215182124273033[BANCO],"Mercado Pago")</f>
        <v>2613</v>
      </c>
      <c r="Q8" s="73">
        <f>SUMIFS(Tabela4101215182124273033[VALOR],Tabela4101215182124273033[COMPRADOR],"Anna",Tabela4101215182124273033[BANCO],"NuBank")</f>
        <v>0</v>
      </c>
      <c r="R8" s="73">
        <f>SUMIFS(Tabela4101215182124273033[VALOR],Tabela4101215182124273033[COMPRADOR],"Anna",Tabela4101215182124273033[BANCO],"PicPay")</f>
        <v>260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68"/>
      <c r="E9" s="69"/>
      <c r="G9" s="128" t="s">
        <v>17</v>
      </c>
      <c r="H9" s="129"/>
      <c r="I9" s="129"/>
      <c r="J9" s="130">
        <f>SUM(K13-E13)</f>
        <v>0</v>
      </c>
      <c r="K9" s="131"/>
      <c r="M9" s="70" t="s">
        <v>26</v>
      </c>
      <c r="N9" s="72">
        <f>SUMIFS(Tabela4101215182124273033[VALOR],Tabela4101215182124273033[COMPRADOR],"Lila",Tabela4101215182124273033[BANCO],"Inter")</f>
        <v>0</v>
      </c>
      <c r="O9" s="72">
        <f>SUMIFS(Tabela4101215182124273033[VALOR],Tabela4101215182124273033[COMPRADOR],"Lila",Tabela4101215182124273033[BANCO],"Santander")</f>
        <v>0</v>
      </c>
      <c r="P9" s="72">
        <f>SUMIFS(Tabela4101215182124273033[VALOR],Tabela4101215182124273033[COMPRADOR],"Lila",Tabela4101215182124273033[BANCO],"Mercado Pago")</f>
        <v>0</v>
      </c>
      <c r="Q9" s="73">
        <f>SUMIFS(Tabela4101215182124273033[VALOR],Tabela4101215182124273033[COMPRADOR],"Lila",Tabela4101215182124273033[BANCO],"NuBank")</f>
        <v>0</v>
      </c>
      <c r="R9" s="73">
        <f>SUMIFS(Tabela4101215182124273033[VALOR],Tabela4101215182124273033[COMPRADOR],"Lila",Tabela4101215182124273033[BANCO],"PicPay")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260.28100000000001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SUMIFS(Tabela4101215182124273033[VALOR],Tabela4101215182124273033[COMPRADOR],"Paula",Tabela4101215182124273033[BANCO],"Inter")</f>
        <v>0</v>
      </c>
      <c r="O10" s="72">
        <f>SUMIFS(Tabela4101215182124273033[VALOR],Tabela4101215182124273033[COMPRADOR],"Paula",Tabela4101215182124273033[BANCO],"Santander")</f>
        <v>0</v>
      </c>
      <c r="P10" s="72">
        <f>SUMIFS(Tabela4101215182124273033[VALOR],Tabela4101215182124273033[COMPRADOR],"Paula",Tabela4101215182124273033[BANCO],"Mercado Pago")</f>
        <v>0</v>
      </c>
      <c r="Q10" s="73">
        <f>SUMIFS(Tabela4101215182124273033[VALOR],Tabela4101215182124273033[COMPRADOR],"Paula",Tabela4101215182124273033[BANCO],"NuBank")</f>
        <v>0</v>
      </c>
      <c r="R10" s="73">
        <f>SUMIFS(Tabela4101215182124273033[VALOR],Tabela4101215182124273033[COMPRADOR],"Paula",Tabela4101215182124273033[BANCO],"PicPay")</f>
        <v>1017.59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128</v>
      </c>
      <c r="N11" s="74">
        <f>SUMIFS(Tabela4101215182124273033[VALOR],Tabela4101215182124273033[COMPRADOR],"Claudio",Tabela4101215182124273033[BANCO],"Inter")</f>
        <v>0</v>
      </c>
      <c r="O11" s="74">
        <f>SUMIFS(Tabela4101215182124273033[VALOR],Tabela4101215182124273033[COMPRADOR],"Claudio",Tabela4101215182124273033[BANCO],"Santander")</f>
        <v>0</v>
      </c>
      <c r="P11" s="74">
        <f>SUMIFS(Tabela4101215182124273033[VALOR],Tabela4101215182124273033[COMPRADOR],"Claudio",Tabela4101215182124273033[BANCO],"Mercado Pago")</f>
        <v>65</v>
      </c>
      <c r="Q11" s="75">
        <f>SUMIFS(Tabela4101215182124273033[VALOR],Tabela4101215182124273033[COMPRADOR],"Claudio",Tabela4101215182124273033[BANCO],"NuBank")</f>
        <v>0</v>
      </c>
      <c r="R11" s="75">
        <f>SUMIFS(Tabela4101215182124273033[VALOR],Tabela4101215182124273033[COMPRADOR],"Claudio",Tabela4101215182124273033[BANCO],"PicPay")</f>
        <v>4204.55</v>
      </c>
      <c r="T11" s="98"/>
      <c r="U11" s="99"/>
      <c r="V11" s="100"/>
      <c r="W11" s="101"/>
      <c r="X11" s="112" t="s">
        <v>89</v>
      </c>
      <c r="Y11" s="110">
        <f>((Y4*30)/100)+Y18</f>
        <v>111.54899999999999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5">
      <c r="B13" s="133" t="s">
        <v>8</v>
      </c>
      <c r="C13" s="133"/>
      <c r="D13" s="88">
        <f>SUM(D16:D32)</f>
        <v>0</v>
      </c>
      <c r="E13" s="88">
        <f>SUM(E16:E32)</f>
        <v>0</v>
      </c>
      <c r="F13" s="77"/>
      <c r="G13" s="134" t="s">
        <v>8</v>
      </c>
      <c r="H13" s="134"/>
      <c r="I13" s="134"/>
      <c r="J13" s="88">
        <f>SUM(J16:J31)</f>
        <v>0</v>
      </c>
      <c r="K13" s="88">
        <f>SUM(K16:K31)</f>
        <v>0</v>
      </c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 t="s">
        <v>124</v>
      </c>
      <c r="O14" s="3">
        <v>1017.59</v>
      </c>
      <c r="P14" s="33">
        <v>45818</v>
      </c>
      <c r="Q14" s="31" t="s">
        <v>54</v>
      </c>
      <c r="R14" s="31" t="s">
        <v>98</v>
      </c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 t="s">
        <v>123</v>
      </c>
      <c r="O15" s="3">
        <v>260</v>
      </c>
      <c r="P15" s="33"/>
      <c r="Q15" s="31" t="s">
        <v>25</v>
      </c>
      <c r="R15" s="31" t="s">
        <v>98</v>
      </c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/>
      <c r="C16" s="76"/>
      <c r="D16" s="3"/>
      <c r="E16" s="3"/>
      <c r="F16"/>
      <c r="G16" s="31"/>
      <c r="H16" s="31"/>
      <c r="I16" s="32"/>
      <c r="J16" s="3"/>
      <c r="K16" s="3"/>
      <c r="M16"/>
      <c r="N16" s="31" t="s">
        <v>129</v>
      </c>
      <c r="O16" s="3">
        <v>4204.55</v>
      </c>
      <c r="P16" s="33"/>
      <c r="Q16" s="31" t="s">
        <v>128</v>
      </c>
      <c r="R16" s="31" t="s">
        <v>98</v>
      </c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/>
      <c r="C17" s="76"/>
      <c r="D17" s="86"/>
      <c r="E17" s="3"/>
      <c r="F17"/>
      <c r="G17" s="31"/>
      <c r="H17" s="31"/>
      <c r="I17" s="32"/>
      <c r="J17" s="3"/>
      <c r="K17" s="3"/>
      <c r="M17"/>
      <c r="N17" s="31" t="s">
        <v>88</v>
      </c>
      <c r="O17" s="3">
        <v>65</v>
      </c>
      <c r="P17" s="33"/>
      <c r="Q17" s="31" t="s">
        <v>128</v>
      </c>
      <c r="R17" s="31" t="s">
        <v>30</v>
      </c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/>
      <c r="C18" s="32"/>
      <c r="D18" s="86"/>
      <c r="E18" s="3"/>
      <c r="F18"/>
      <c r="G18" s="31"/>
      <c r="H18" s="31"/>
      <c r="I18" s="32"/>
      <c r="J18" s="3"/>
      <c r="K18" s="3"/>
      <c r="M18"/>
      <c r="N18" s="31" t="s">
        <v>130</v>
      </c>
      <c r="O18" s="3">
        <v>1485.11</v>
      </c>
      <c r="P18" s="33">
        <v>45977</v>
      </c>
      <c r="Q18" s="31" t="s">
        <v>25</v>
      </c>
      <c r="R18" s="31" t="s">
        <v>30</v>
      </c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/>
      <c r="C19" s="76"/>
      <c r="D19" s="12"/>
      <c r="E19" s="3"/>
      <c r="F19"/>
      <c r="G19" s="31"/>
      <c r="H19" s="31"/>
      <c r="I19" s="32"/>
      <c r="J19" s="3"/>
      <c r="K19" s="3"/>
      <c r="M19"/>
      <c r="N19" s="31" t="s">
        <v>131</v>
      </c>
      <c r="O19" s="3">
        <v>237.89</v>
      </c>
      <c r="P19" s="118"/>
      <c r="Q19" s="31" t="s">
        <v>25</v>
      </c>
      <c r="R19" s="31" t="s">
        <v>30</v>
      </c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/>
      <c r="C20" s="76"/>
      <c r="D20" s="12"/>
      <c r="E20" s="86"/>
      <c r="F20"/>
      <c r="G20" s="31"/>
      <c r="H20" s="31"/>
      <c r="I20" s="32"/>
      <c r="J20" s="3"/>
      <c r="K20" s="3"/>
      <c r="M20"/>
      <c r="N20" s="84" t="s">
        <v>81</v>
      </c>
      <c r="O20" s="12">
        <v>200</v>
      </c>
      <c r="P20" s="39"/>
      <c r="Q20" s="84" t="s">
        <v>25</v>
      </c>
      <c r="R20" s="84" t="s">
        <v>30</v>
      </c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/>
      <c r="C21" s="76"/>
      <c r="D21" s="12"/>
      <c r="E21" s="86"/>
      <c r="F21"/>
      <c r="G21" s="31"/>
      <c r="H21" s="31"/>
      <c r="I21" s="30"/>
      <c r="J21" s="86"/>
      <c r="K21" s="86"/>
      <c r="M21"/>
      <c r="N21" s="1" t="s">
        <v>88</v>
      </c>
      <c r="O21" s="12">
        <v>450</v>
      </c>
      <c r="P21" s="30"/>
      <c r="Q21" s="1" t="s">
        <v>25</v>
      </c>
      <c r="R21" s="1" t="s">
        <v>30</v>
      </c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/>
      <c r="C22" s="76"/>
      <c r="D22" s="12"/>
      <c r="E22" s="86"/>
      <c r="F22"/>
      <c r="G22" s="31"/>
      <c r="H22" s="31"/>
      <c r="I22" s="32"/>
      <c r="J22" s="86"/>
      <c r="K22" s="86"/>
      <c r="M22"/>
      <c r="N22" s="1" t="s">
        <v>132</v>
      </c>
      <c r="O22" s="12">
        <v>240</v>
      </c>
      <c r="P22" s="30"/>
      <c r="Q22" s="1" t="s">
        <v>25</v>
      </c>
      <c r="R22" s="1" t="s">
        <v>30</v>
      </c>
      <c r="T22" s="90"/>
      <c r="U22" s="92" t="s">
        <v>115</v>
      </c>
      <c r="V22" s="91">
        <f>SUM(V5:V21)</f>
        <v>371.83</v>
      </c>
      <c r="W22" s="91">
        <f>SUM(W5:W21)-V22</f>
        <v>-371.83</v>
      </c>
      <c r="X22" s="90"/>
      <c r="Y22" s="90"/>
      <c r="Z22" s="91"/>
      <c r="AA22" s="90"/>
      <c r="AB22" s="90"/>
      <c r="AC22" s="90"/>
    </row>
    <row r="23" spans="2:29" ht="15" customHeight="1" x14ac:dyDescent="0.25">
      <c r="B23" s="31"/>
      <c r="C23" s="76"/>
      <c r="D23" s="3"/>
      <c r="E23" s="3"/>
      <c r="F23"/>
      <c r="G23" s="31"/>
      <c r="H23" s="31"/>
      <c r="I23" s="32"/>
      <c r="J23" s="86"/>
      <c r="K23" s="86"/>
      <c r="M23"/>
    </row>
    <row r="24" spans="2:29" ht="15" customHeight="1" x14ac:dyDescent="0.25">
      <c r="D24" s="86"/>
      <c r="E24" s="86"/>
      <c r="F24"/>
      <c r="G24" s="31"/>
      <c r="H24" s="31"/>
      <c r="I24" s="32"/>
      <c r="J24" s="3"/>
      <c r="K24" s="3"/>
      <c r="M24"/>
    </row>
    <row r="25" spans="2:29" ht="15" customHeight="1" x14ac:dyDescent="0.25">
      <c r="B25" s="84"/>
      <c r="C25" s="85"/>
      <c r="D25" s="86"/>
      <c r="E25" s="86"/>
      <c r="F25"/>
      <c r="G25" s="31"/>
      <c r="H25" s="31"/>
      <c r="I25" s="32"/>
      <c r="J25" s="3"/>
      <c r="K25" s="3"/>
      <c r="M25"/>
    </row>
    <row r="26" spans="2:29" ht="15" customHeight="1" x14ac:dyDescent="0.25">
      <c r="D26" s="3"/>
      <c r="E26" s="3"/>
      <c r="F26"/>
      <c r="G26" s="31"/>
      <c r="H26" s="31"/>
      <c r="I26" s="32"/>
      <c r="J26" s="3"/>
      <c r="K26" s="3"/>
      <c r="M26"/>
    </row>
    <row r="27" spans="2:29" ht="15" customHeight="1" x14ac:dyDescent="0.25">
      <c r="D27" s="3"/>
      <c r="E27" s="3"/>
      <c r="F27"/>
      <c r="G27" s="31"/>
      <c r="H27" s="31"/>
      <c r="I27" s="32"/>
      <c r="J27" s="3"/>
      <c r="K27" s="3"/>
      <c r="M27"/>
    </row>
    <row r="28" spans="2:29" ht="15" customHeight="1" x14ac:dyDescent="0.25">
      <c r="B28"/>
      <c r="C28" s="30"/>
      <c r="D28" s="3"/>
      <c r="E28" s="3"/>
      <c r="F28"/>
      <c r="G28" s="31"/>
      <c r="H28" s="31"/>
      <c r="I28" s="32"/>
      <c r="J28" s="3"/>
      <c r="K28" s="3"/>
      <c r="M28"/>
    </row>
    <row r="29" spans="2:29" ht="15" customHeight="1" x14ac:dyDescent="0.25">
      <c r="B29" s="31"/>
      <c r="C29" s="32"/>
      <c r="D29" s="86"/>
      <c r="E29" s="86"/>
      <c r="F29"/>
      <c r="G29" s="31"/>
      <c r="H29" s="31"/>
      <c r="I29" s="32"/>
      <c r="J29" s="3"/>
      <c r="K29" s="3"/>
      <c r="M29"/>
    </row>
    <row r="30" spans="2:29" s="10" customFormat="1" ht="15" customHeight="1" x14ac:dyDescent="0.25">
      <c r="B30"/>
      <c r="C30" s="30"/>
      <c r="D30" s="86"/>
      <c r="E30" s="86"/>
      <c r="F30"/>
      <c r="G30" s="31"/>
      <c r="H30" s="31"/>
      <c r="I30" s="32"/>
      <c r="J30" s="3"/>
      <c r="K30" s="3"/>
      <c r="M30"/>
    </row>
    <row r="31" spans="2:29" ht="15" customHeight="1" x14ac:dyDescent="0.25">
      <c r="B31" s="31"/>
      <c r="C31" s="32"/>
      <c r="D31" s="3"/>
      <c r="E31" s="3"/>
      <c r="F31"/>
      <c r="G31" s="31"/>
      <c r="H31" s="31"/>
      <c r="I31" s="32"/>
      <c r="J31" s="3"/>
      <c r="K31" s="3"/>
      <c r="M31"/>
    </row>
    <row r="32" spans="2:29" ht="15" customHeight="1" x14ac:dyDescent="0.25">
      <c r="B32"/>
      <c r="C32" s="30"/>
      <c r="D32" s="3"/>
      <c r="E32" s="3"/>
      <c r="F32"/>
      <c r="G32"/>
      <c r="H32"/>
      <c r="I32" s="30"/>
      <c r="J32" s="86"/>
      <c r="K32" s="86"/>
      <c r="M32"/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4">
    <mergeCell ref="B14:E14"/>
    <mergeCell ref="G14:K14"/>
    <mergeCell ref="X8:Y8"/>
    <mergeCell ref="G9:I9"/>
    <mergeCell ref="J9:K9"/>
    <mergeCell ref="B12:K12"/>
    <mergeCell ref="B13:C13"/>
    <mergeCell ref="G13:I13"/>
    <mergeCell ref="B7:B8"/>
    <mergeCell ref="G7:I7"/>
    <mergeCell ref="J7:K7"/>
    <mergeCell ref="G8:I8"/>
    <mergeCell ref="J8:K8"/>
    <mergeCell ref="B3:B4"/>
    <mergeCell ref="G3:I3"/>
    <mergeCell ref="J3:K3"/>
    <mergeCell ref="J4:K4"/>
    <mergeCell ref="G5:I5"/>
    <mergeCell ref="J5:K5"/>
    <mergeCell ref="T2:Y2"/>
    <mergeCell ref="D2:E3"/>
    <mergeCell ref="G2:I2"/>
    <mergeCell ref="J2:K2"/>
    <mergeCell ref="M2:R2"/>
  </mergeCells>
  <conditionalFormatting sqref="B3">
    <cfRule type="cellIs" dxfId="22" priority="5" operator="lessThan">
      <formula>0</formula>
    </cfRule>
    <cfRule type="cellIs" dxfId="21" priority="6" operator="greaterThan">
      <formula>0</formula>
    </cfRule>
    <cfRule type="cellIs" dxfId="20" priority="7" operator="lessThan">
      <formula>0</formula>
    </cfRule>
  </conditionalFormatting>
  <conditionalFormatting sqref="B7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J9:J10 I11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5B51-5181-4DD5-8F9D-89144AE5F8CC}">
  <dimension ref="B1:AC43"/>
  <sheetViews>
    <sheetView showGridLines="0" topLeftCell="A10" zoomScale="90" zoomScaleNormal="90" workbookViewId="0">
      <selection activeCell="B16" sqref="B16:K29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" customWidth="1"/>
    <col min="5" max="5" width="15.7109375" style="15" customWidth="1"/>
    <col min="6" max="6" width="1.7109375" style="1" customWidth="1"/>
    <col min="7" max="7" width="30.7109375" style="1" customWidth="1"/>
    <col min="8" max="8" width="12.7109375" style="1" bestFit="1" customWidth="1"/>
    <col min="9" max="9" width="20.7109375" style="34" customWidth="1"/>
    <col min="10" max="10" width="15.7109375" style="1" customWidth="1"/>
    <col min="11" max="11" width="15.7109375" style="15" customWidth="1"/>
    <col min="12" max="12" width="1.7109375" style="14" customWidth="1"/>
    <col min="13" max="13" width="10.7109375" style="12" customWidth="1"/>
    <col min="14" max="18" width="25.7109375" style="1" customWidth="1"/>
    <col min="19" max="19" width="12.28515625" style="1" customWidth="1"/>
    <col min="20" max="20" width="17.85546875" style="1" bestFit="1" customWidth="1"/>
    <col min="21" max="26" width="15.7109375" style="1" customWidth="1"/>
    <col min="27" max="27" width="12.85546875" style="1" customWidth="1"/>
    <col min="28" max="16384" width="14.42578125" style="1"/>
  </cols>
  <sheetData>
    <row r="1" spans="2:29" ht="9.9499999999999993" customHeight="1" x14ac:dyDescent="0.25"/>
    <row r="2" spans="2:29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0</v>
      </c>
      <c r="K2" s="163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  <c r="AC2" s="90"/>
    </row>
    <row r="3" spans="2:29" s="10" customFormat="1" ht="15" customHeight="1" x14ac:dyDescent="0.25">
      <c r="B3" s="142">
        <f>SUM(Novembro!B3,K13-E13)</f>
        <v>4770.1599999999962</v>
      </c>
      <c r="C3" s="41"/>
      <c r="D3" s="158"/>
      <c r="E3" s="159"/>
      <c r="G3" s="152" t="s">
        <v>19</v>
      </c>
      <c r="H3" s="153"/>
      <c r="I3" s="153"/>
      <c r="J3" s="154">
        <f>SUM(J2-B3)</f>
        <v>-4770.1599999999962</v>
      </c>
      <c r="K3" s="155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  <c r="AC3" s="90"/>
    </row>
    <row r="4" spans="2:29" ht="15" customHeight="1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N4" s="115" t="s">
        <v>79</v>
      </c>
      <c r="O4" s="114">
        <f>SUM(N7:R11)</f>
        <v>0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483.18000000000006</v>
      </c>
      <c r="AA4" s="90" t="s">
        <v>107</v>
      </c>
      <c r="AB4" s="90"/>
    </row>
    <row r="5" spans="2:29" ht="15" customHeight="1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J16</f>
        <v>0</v>
      </c>
      <c r="K5" s="141"/>
      <c r="M5" s="23"/>
      <c r="N5" s="25"/>
      <c r="O5" s="26"/>
      <c r="P5" s="23"/>
      <c r="Q5" s="29"/>
      <c r="R5" s="23"/>
      <c r="T5" s="98" t="s">
        <v>83</v>
      </c>
      <c r="U5" s="99"/>
      <c r="V5" s="100">
        <v>189.9</v>
      </c>
      <c r="W5" s="101"/>
      <c r="X5" s="102" t="s">
        <v>108</v>
      </c>
      <c r="Y5" s="103">
        <f>SUM(W5:W21)</f>
        <v>0</v>
      </c>
      <c r="AA5" s="90"/>
      <c r="AB5" s="90"/>
    </row>
    <row r="6" spans="2:29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>
        <v>74.69</v>
      </c>
      <c r="W6" s="107"/>
      <c r="X6" s="108" t="s">
        <v>109</v>
      </c>
      <c r="Y6" s="109">
        <f>SUM(Y4-Y5)</f>
        <v>483.18000000000006</v>
      </c>
      <c r="AA6" s="90" t="s">
        <v>110</v>
      </c>
      <c r="AB6" s="90">
        <v>7003157185</v>
      </c>
    </row>
    <row r="7" spans="2:29" ht="15" customHeight="1" x14ac:dyDescent="0.25">
      <c r="B7" s="142">
        <f>SUM(J13-D13)+Novembro!B3</f>
        <v>4770.1599999999962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SUM(J5*15)/100</f>
        <v>0</v>
      </c>
      <c r="K7" s="147"/>
      <c r="M7" s="70" t="s">
        <v>24</v>
      </c>
      <c r="N7" s="72">
        <f>SUMIFS(Tabela410121518212427303339[VALOR],Tabela410121518212427303339[COMPRADOR],"Augusto",Tabela410121518212427303339[BANCO],"Inter")</f>
        <v>0</v>
      </c>
      <c r="O7" s="72">
        <f>SUMIFS(Tabela410121518212427303339[VALOR],Tabela410121518212427303339[COMPRADOR],"Augusto",Tabela410121518212427303339[BANCO],"Santander")</f>
        <v>0</v>
      </c>
      <c r="P7" s="72">
        <f>SUMIFS(Tabela410121518212427303339[VALOR],Tabela410121518212427303339[COMPRADOR],"Augusto",Tabela410121518212427303339[BANCO],"Mercado Pago")</f>
        <v>0</v>
      </c>
      <c r="Q7" s="73">
        <f>SUMIFS(Tabela410121518212427303339[VALOR],Tabela410121518212427303339[COMPRADOR],"Augusto",Tabela410121518212427303339[BANCO],"NuBank")</f>
        <v>0</v>
      </c>
      <c r="R7" s="73">
        <f>SUMIFS(Tabela410121518212427303339[VALOR],Tabela410121518212427303339[COMPRADOR],"Augusto",Tabela410121518212427303339[BANCO],"PicPay")</f>
        <v>0</v>
      </c>
      <c r="T7" s="98" t="s">
        <v>97</v>
      </c>
      <c r="U7" s="99"/>
      <c r="V7" s="100">
        <v>218.59</v>
      </c>
      <c r="W7" s="101"/>
      <c r="X7" s="90"/>
      <c r="Y7" s="90"/>
      <c r="Z7" s="91"/>
      <c r="AA7" s="90" t="s">
        <v>111</v>
      </c>
      <c r="AB7" s="90">
        <v>3001236814</v>
      </c>
    </row>
    <row r="8" spans="2:29" ht="15" customHeight="1" x14ac:dyDescent="0.25">
      <c r="B8" s="143"/>
      <c r="C8" s="42"/>
      <c r="D8" s="66" t="s">
        <v>7</v>
      </c>
      <c r="E8" s="67">
        <v>0</v>
      </c>
      <c r="G8" s="148" t="s">
        <v>78</v>
      </c>
      <c r="H8" s="149"/>
      <c r="I8" s="149"/>
      <c r="J8" s="150">
        <f>SUM(K16*65)/100</f>
        <v>0</v>
      </c>
      <c r="K8" s="151"/>
      <c r="M8" s="70" t="s">
        <v>28</v>
      </c>
      <c r="N8" s="72">
        <f>SUMIFS(Tabela410121518212427303339[VALOR],Tabela410121518212427303339[COMPRADOR],"Anna",Tabela410121518212427303339[BANCO],"Inter")</f>
        <v>0</v>
      </c>
      <c r="O8" s="72">
        <f>SUMIFS(Tabela410121518212427303339[VALOR],Tabela410121518212427303339[COMPRADOR],"Anna",Tabela410121518212427303339[BANCO],"Santander")</f>
        <v>0</v>
      </c>
      <c r="P8" s="72">
        <f>SUMIFS(Tabela410121518212427303339[VALOR],Tabela410121518212427303339[COMPRADOR],"Anna",Tabela410121518212427303339[BANCO],"Mercado Pago")</f>
        <v>0</v>
      </c>
      <c r="Q8" s="73">
        <f>SUMIFS(Tabela410121518212427303339[VALOR],Tabela410121518212427303339[COMPRADOR],"Anna",Tabela410121518212427303339[BANCO],"NuBank")</f>
        <v>0</v>
      </c>
      <c r="R8" s="73">
        <f>SUMIFS(Tabela410121518212427303339[VALOR],Tabela410121518212427303339[COMPRADOR],"Anna",Tabela410121518212427303339[BANCO],"PicPay")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9" ht="15" customHeight="1" x14ac:dyDescent="0.25">
      <c r="B9" s="57"/>
      <c r="C9" s="44"/>
      <c r="D9" s="119" t="s">
        <v>137</v>
      </c>
      <c r="E9" s="120">
        <v>0</v>
      </c>
      <c r="G9" s="128" t="s">
        <v>17</v>
      </c>
      <c r="H9" s="129"/>
      <c r="I9" s="129"/>
      <c r="J9" s="130">
        <f>SUM(K13-E13)</f>
        <v>0</v>
      </c>
      <c r="K9" s="131"/>
      <c r="M9" s="70" t="s">
        <v>26</v>
      </c>
      <c r="N9" s="72">
        <f>SUMIFS(Tabela410121518212427303339[VALOR],Tabela410121518212427303339[COMPRADOR],"Lila",Tabela410121518212427303339[BANCO],"Inter")</f>
        <v>0</v>
      </c>
      <c r="O9" s="72">
        <f>SUMIFS(Tabela410121518212427303339[VALOR],Tabela410121518212427303339[COMPRADOR],"Lila",Tabela410121518212427303339[BANCO],"Santander")</f>
        <v>0</v>
      </c>
      <c r="P9" s="72">
        <f>SUMIFS(Tabela410121518212427303339[VALOR],Tabela410121518212427303339[COMPRADOR],"Lila",Tabela410121518212427303339[BANCO],"Mercado Pago")</f>
        <v>0</v>
      </c>
      <c r="Q9" s="73">
        <f>SUMIFS(Tabela410121518212427303339[VALOR],Tabela410121518212427303339[COMPRADOR],"Lila",Tabela410121518212427303339[BANCO],"NuBank")</f>
        <v>0</v>
      </c>
      <c r="R9" s="73">
        <f>SUMIFS(Tabela410121518212427303339[VALOR],Tabela410121518212427303339[COMPRADOR],"Lila",Tabela410121518212427303339[BANCO],"PicPay")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338.22600000000006</v>
      </c>
      <c r="Z9"/>
      <c r="AA9" s="90"/>
      <c r="AB9" s="90"/>
      <c r="AC9" s="90"/>
    </row>
    <row r="10" spans="2:29" ht="15" customHeight="1" x14ac:dyDescent="0.25">
      <c r="B10" s="45"/>
      <c r="C10" s="42"/>
      <c r="D10" s="45"/>
      <c r="E10" s="46"/>
      <c r="G10" s="47"/>
      <c r="H10" s="47"/>
      <c r="I10" s="47"/>
      <c r="J10" s="87"/>
      <c r="K10" s="87"/>
      <c r="M10" s="70" t="s">
        <v>54</v>
      </c>
      <c r="N10" s="72">
        <f>SUMIFS(Tabela410121518212427303339[VALOR],Tabela410121518212427303339[COMPRADOR],"Paula",Tabela410121518212427303339[BANCO],"Inter")</f>
        <v>0</v>
      </c>
      <c r="O10" s="72">
        <f>SUMIFS(Tabela410121518212427303339[VALOR],Tabela410121518212427303339[COMPRADOR],"Paula",Tabela410121518212427303339[BANCO],"Santander")</f>
        <v>0</v>
      </c>
      <c r="P10" s="72">
        <f>SUMIFS(Tabela410121518212427303339[VALOR],Tabela410121518212427303339[COMPRADOR],"Paula",Tabela410121518212427303339[BANCO],"Mercado Pago")</f>
        <v>0</v>
      </c>
      <c r="Q10" s="73">
        <f>SUMIFS(Tabela410121518212427303339[VALOR],Tabela410121518212427303339[COMPRADOR],"Paula",Tabela410121518212427303339[BANCO],"NuBank")</f>
        <v>0</v>
      </c>
      <c r="R10" s="73">
        <f>SUMIFS(Tabela410121518212427303339[VALOR],Tabela410121518212427303339[COMPRADOR],"Paula",Tabela410121518212427303339[BANCO],"PicPay")</f>
        <v>0</v>
      </c>
      <c r="T10" s="104"/>
      <c r="U10" s="105"/>
      <c r="V10" s="106"/>
      <c r="W10" s="107"/>
      <c r="X10" s="113"/>
      <c r="Y10" s="111"/>
      <c r="AA10" s="90"/>
      <c r="AB10" s="90"/>
      <c r="AC10" s="90"/>
    </row>
    <row r="11" spans="2:29" ht="15.75" x14ac:dyDescent="0.2">
      <c r="B11" s="45"/>
      <c r="C11" s="42"/>
      <c r="D11" s="45"/>
      <c r="E11" s="46"/>
      <c r="G11" s="47"/>
      <c r="H11" s="47"/>
      <c r="I11" s="48"/>
      <c r="J11" s="45"/>
      <c r="K11" s="46"/>
      <c r="M11" s="71" t="s">
        <v>128</v>
      </c>
      <c r="N11" s="74">
        <f>SUMIFS(Tabela410121518212427303339[VALOR],Tabela410121518212427303339[COMPRADOR],"Claudio",Tabela410121518212427303339[BANCO],"Inter")</f>
        <v>0</v>
      </c>
      <c r="O11" s="74">
        <f>SUMIFS(Tabela410121518212427303339[VALOR],Tabela410121518212427303339[COMPRADOR],"Claudio",Tabela410121518212427303339[BANCO],"Santander")</f>
        <v>0</v>
      </c>
      <c r="P11" s="74">
        <f>SUMIFS(Tabela410121518212427303339[VALOR],Tabela410121518212427303339[COMPRADOR],"Claudio",Tabela410121518212427303339[BANCO],"Mercado Pago")</f>
        <v>0</v>
      </c>
      <c r="Q11" s="75">
        <f>SUMIFS(Tabela410121518212427303339[VALOR],Tabela410121518212427303339[COMPRADOR],"Claudio",Tabela410121518212427303339[BANCO],"NuBank")</f>
        <v>0</v>
      </c>
      <c r="R11" s="75">
        <f>SUMIFS(Tabela410121518212427303339[VALOR],Tabela410121518212427303339[COMPRADOR],"Claudio",Tabela410121518212427303339[BANCO],"PicPay")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144.95400000000001</v>
      </c>
      <c r="Z11" s="10"/>
      <c r="AA11" s="90"/>
      <c r="AB11" s="90"/>
      <c r="AC11" s="90"/>
    </row>
    <row r="12" spans="2:29" ht="30" customHeight="1" x14ac:dyDescent="0.25">
      <c r="B12" s="132" t="s">
        <v>72</v>
      </c>
      <c r="C12" s="132"/>
      <c r="D12" s="132"/>
      <c r="E12" s="132"/>
      <c r="F12" s="132"/>
      <c r="G12" s="132"/>
      <c r="H12" s="132"/>
      <c r="I12" s="132"/>
      <c r="J12" s="132"/>
      <c r="K12" s="132"/>
      <c r="M12" s="21"/>
      <c r="T12" s="104"/>
      <c r="U12" s="105"/>
      <c r="V12" s="106"/>
      <c r="W12" s="107"/>
      <c r="X12" s="90"/>
      <c r="Y12" s="90"/>
      <c r="Z12" s="91"/>
      <c r="AA12" s="90"/>
      <c r="AB12" s="90"/>
      <c r="AC12" s="90"/>
    </row>
    <row r="13" spans="2:29" ht="24.95" customHeight="1" x14ac:dyDescent="0.25">
      <c r="B13" s="133" t="s">
        <v>8</v>
      </c>
      <c r="C13" s="133"/>
      <c r="D13" s="88">
        <f>SUM(D16:D32)</f>
        <v>0</v>
      </c>
      <c r="E13" s="88">
        <f>SUM(E16:E32)</f>
        <v>0</v>
      </c>
      <c r="F13" s="77"/>
      <c r="G13" s="134" t="s">
        <v>8</v>
      </c>
      <c r="H13" s="134"/>
      <c r="I13" s="134"/>
      <c r="J13" s="88">
        <f>SUM(J16:J31)</f>
        <v>0</v>
      </c>
      <c r="K13" s="88">
        <f>SUM(K16:K31)</f>
        <v>0</v>
      </c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  <c r="T13" s="98"/>
      <c r="U13" s="99"/>
      <c r="V13" s="100"/>
      <c r="W13" s="101"/>
      <c r="X13" s="90"/>
      <c r="Y13" s="90"/>
      <c r="Z13" s="91"/>
      <c r="AA13" s="90"/>
      <c r="AB13" s="90"/>
      <c r="AC13" s="90"/>
    </row>
    <row r="14" spans="2:29" ht="15" customHeight="1" x14ac:dyDescent="0.25">
      <c r="B14" s="124" t="s">
        <v>20</v>
      </c>
      <c r="C14" s="124"/>
      <c r="D14" s="124"/>
      <c r="E14" s="124"/>
      <c r="F14" s="78"/>
      <c r="G14" s="125" t="s">
        <v>21</v>
      </c>
      <c r="H14" s="125"/>
      <c r="I14" s="125"/>
      <c r="J14" s="125"/>
      <c r="K14" s="125"/>
      <c r="M14"/>
      <c r="N14" s="31"/>
      <c r="O14" s="3"/>
      <c r="P14" s="33"/>
      <c r="Q14" s="31"/>
      <c r="R14" s="31"/>
      <c r="T14" s="104"/>
      <c r="U14" s="105"/>
      <c r="V14" s="106"/>
      <c r="W14" s="107"/>
      <c r="X14" s="90"/>
      <c r="Y14" s="90"/>
      <c r="Z14" s="91"/>
      <c r="AA14" s="90"/>
      <c r="AB14" s="90"/>
      <c r="AC14" s="90"/>
    </row>
    <row r="15" spans="2:29" ht="15" customHeight="1" x14ac:dyDescent="0.25">
      <c r="B15" s="79" t="s">
        <v>1</v>
      </c>
      <c r="C15" s="79" t="s">
        <v>63</v>
      </c>
      <c r="D15" s="80" t="s">
        <v>2</v>
      </c>
      <c r="E15" s="80" t="s">
        <v>3</v>
      </c>
      <c r="F15" s="81"/>
      <c r="G15" s="81" t="s">
        <v>1</v>
      </c>
      <c r="H15" s="81" t="s">
        <v>74</v>
      </c>
      <c r="I15" s="81" t="s">
        <v>63</v>
      </c>
      <c r="J15" s="82" t="s">
        <v>2</v>
      </c>
      <c r="K15" s="82" t="s">
        <v>4</v>
      </c>
      <c r="M15"/>
      <c r="N15" s="31"/>
      <c r="O15" s="3"/>
      <c r="P15" s="33"/>
      <c r="Q15" s="31"/>
      <c r="R15" s="31"/>
      <c r="T15" s="98"/>
      <c r="U15" s="99"/>
      <c r="V15" s="100"/>
      <c r="W15" s="101"/>
      <c r="X15" s="90"/>
      <c r="Y15" s="90"/>
      <c r="Z15" s="91"/>
      <c r="AA15" s="90"/>
      <c r="AB15" s="90"/>
      <c r="AC15" s="90"/>
    </row>
    <row r="16" spans="2:29" ht="15" customHeight="1" x14ac:dyDescent="0.25">
      <c r="B16" s="31"/>
      <c r="C16" s="76"/>
      <c r="D16" s="3"/>
      <c r="E16" s="3"/>
      <c r="F16"/>
      <c r="G16" s="31"/>
      <c r="H16" s="31"/>
      <c r="I16" s="32"/>
      <c r="J16" s="3"/>
      <c r="K16" s="3"/>
      <c r="M16"/>
      <c r="N16" s="31"/>
      <c r="O16" s="3"/>
      <c r="P16" s="33"/>
      <c r="Q16" s="31"/>
      <c r="R16" s="31"/>
      <c r="T16" s="104"/>
      <c r="U16" s="105"/>
      <c r="V16" s="106"/>
      <c r="W16" s="107"/>
      <c r="X16" s="90"/>
      <c r="Y16" s="90"/>
      <c r="Z16" s="91"/>
      <c r="AA16" s="90"/>
      <c r="AB16" s="90"/>
      <c r="AC16" s="90"/>
    </row>
    <row r="17" spans="2:29" ht="15" customHeight="1" x14ac:dyDescent="0.25">
      <c r="B17" s="31"/>
      <c r="C17" s="76"/>
      <c r="D17" s="86"/>
      <c r="E17" s="3"/>
      <c r="F17"/>
      <c r="G17" s="31"/>
      <c r="H17" s="31"/>
      <c r="I17" s="32"/>
      <c r="J17" s="3"/>
      <c r="K17" s="3"/>
      <c r="M17"/>
      <c r="N17" s="31"/>
      <c r="O17" s="3"/>
      <c r="P17" s="33"/>
      <c r="Q17" s="31"/>
      <c r="R17" s="31"/>
      <c r="T17" s="98"/>
      <c r="U17" s="99"/>
      <c r="V17" s="100"/>
      <c r="W17" s="101"/>
      <c r="X17" s="90"/>
      <c r="Y17" s="91"/>
      <c r="AA17" s="90"/>
      <c r="AB17" s="90"/>
      <c r="AC17" s="90"/>
    </row>
    <row r="18" spans="2:29" ht="15" customHeight="1" x14ac:dyDescent="0.25">
      <c r="B18" s="31"/>
      <c r="C18" s="32"/>
      <c r="D18" s="86"/>
      <c r="E18" s="3"/>
      <c r="F18"/>
      <c r="G18" s="31"/>
      <c r="H18" s="31"/>
      <c r="I18" s="32"/>
      <c r="J18" s="3"/>
      <c r="K18" s="3"/>
      <c r="M18"/>
      <c r="N18" s="31"/>
      <c r="O18" s="3"/>
      <c r="P18" s="33"/>
      <c r="Q18" s="31"/>
      <c r="R18" s="31"/>
      <c r="T18" s="104"/>
      <c r="U18" s="105"/>
      <c r="V18" s="106"/>
      <c r="W18" s="107"/>
      <c r="X18" s="90"/>
      <c r="Y18" s="91"/>
      <c r="AA18" s="90"/>
      <c r="AB18" s="90"/>
      <c r="AC18" s="90"/>
    </row>
    <row r="19" spans="2:29" ht="15" customHeight="1" x14ac:dyDescent="0.25">
      <c r="B19" s="31"/>
      <c r="C19" s="76"/>
      <c r="D19" s="12"/>
      <c r="E19" s="3"/>
      <c r="F19"/>
      <c r="G19" s="31"/>
      <c r="H19" s="31"/>
      <c r="I19" s="32"/>
      <c r="J19" s="3"/>
      <c r="K19" s="3"/>
      <c r="M19"/>
      <c r="N19" s="31"/>
      <c r="O19" s="3"/>
      <c r="P19" s="118"/>
      <c r="Q19" s="31"/>
      <c r="R19" s="31"/>
      <c r="T19" s="98"/>
      <c r="U19" s="99"/>
      <c r="V19" s="100"/>
      <c r="W19" s="101"/>
      <c r="X19" s="90"/>
      <c r="Y19" s="90"/>
      <c r="Z19" s="91"/>
      <c r="AA19" s="90"/>
      <c r="AB19" s="90"/>
      <c r="AC19" s="90"/>
    </row>
    <row r="20" spans="2:29" ht="15" customHeight="1" x14ac:dyDescent="0.25">
      <c r="B20" s="31"/>
      <c r="C20" s="76"/>
      <c r="D20" s="12"/>
      <c r="E20" s="86"/>
      <c r="F20"/>
      <c r="G20" s="31"/>
      <c r="H20" s="31"/>
      <c r="I20" s="32"/>
      <c r="J20" s="3"/>
      <c r="K20" s="3"/>
      <c r="M20"/>
      <c r="N20" s="84"/>
      <c r="O20" s="12"/>
      <c r="P20" s="39"/>
      <c r="Q20" s="84"/>
      <c r="R20" s="84"/>
      <c r="T20" s="104"/>
      <c r="U20" s="105"/>
      <c r="V20" s="106"/>
      <c r="W20" s="107"/>
      <c r="X20" s="90"/>
      <c r="Y20" s="90"/>
      <c r="Z20" s="91"/>
      <c r="AA20" s="90"/>
      <c r="AB20" s="90"/>
      <c r="AC20" s="90"/>
    </row>
    <row r="21" spans="2:29" ht="15" customHeight="1" x14ac:dyDescent="0.25">
      <c r="B21" s="31"/>
      <c r="C21" s="76"/>
      <c r="D21" s="12"/>
      <c r="E21" s="86"/>
      <c r="F21"/>
      <c r="G21" s="31"/>
      <c r="H21" s="31"/>
      <c r="I21" s="30"/>
      <c r="J21" s="86"/>
      <c r="K21" s="86"/>
      <c r="M21"/>
      <c r="O21" s="12"/>
      <c r="P21" s="30"/>
      <c r="T21" s="98"/>
      <c r="U21" s="99"/>
      <c r="V21" s="100"/>
      <c r="W21" s="101"/>
      <c r="X21" s="90"/>
      <c r="Y21" s="90"/>
      <c r="Z21" s="91"/>
      <c r="AA21" s="90"/>
      <c r="AB21" s="90"/>
      <c r="AC21" s="90"/>
    </row>
    <row r="22" spans="2:29" ht="15" customHeight="1" x14ac:dyDescent="0.25">
      <c r="B22" s="31"/>
      <c r="C22" s="76"/>
      <c r="D22" s="12"/>
      <c r="E22" s="86"/>
      <c r="F22"/>
      <c r="G22" s="31"/>
      <c r="H22" s="31"/>
      <c r="I22" s="32"/>
      <c r="J22" s="86"/>
      <c r="K22" s="86"/>
      <c r="M22"/>
      <c r="O22" s="12"/>
      <c r="P22" s="30"/>
      <c r="T22" s="90"/>
      <c r="U22" s="92" t="s">
        <v>115</v>
      </c>
      <c r="V22" s="91">
        <f>SUM(V5:V21)</f>
        <v>483.18000000000006</v>
      </c>
      <c r="W22" s="91">
        <f>SUM(W5:W21)-V22</f>
        <v>-483.18000000000006</v>
      </c>
      <c r="X22" s="90"/>
      <c r="Y22" s="90"/>
      <c r="Z22" s="91"/>
      <c r="AA22" s="90"/>
      <c r="AB22" s="90"/>
      <c r="AC22" s="90"/>
    </row>
    <row r="23" spans="2:29" ht="15" customHeight="1" x14ac:dyDescent="0.25">
      <c r="D23" s="86"/>
      <c r="E23" s="3"/>
      <c r="F23"/>
      <c r="G23" s="31"/>
      <c r="H23" s="31"/>
      <c r="I23" s="32"/>
      <c r="J23" s="86"/>
      <c r="K23" s="86"/>
      <c r="M23"/>
    </row>
    <row r="24" spans="2:29" ht="15" customHeight="1" x14ac:dyDescent="0.25">
      <c r="B24" s="84"/>
      <c r="C24" s="85"/>
      <c r="D24" s="86"/>
      <c r="E24" s="86"/>
      <c r="F24"/>
      <c r="G24" s="31"/>
      <c r="H24" s="31"/>
      <c r="I24" s="32"/>
      <c r="J24" s="3"/>
      <c r="K24" s="3"/>
      <c r="M24"/>
    </row>
    <row r="25" spans="2:29" ht="15" customHeight="1" x14ac:dyDescent="0.25">
      <c r="D25" s="3"/>
      <c r="E25" s="86"/>
      <c r="F25"/>
      <c r="G25" s="31"/>
      <c r="H25" s="31"/>
      <c r="I25" s="32"/>
      <c r="J25" s="3"/>
      <c r="K25" s="3"/>
      <c r="M25"/>
    </row>
    <row r="26" spans="2:29" ht="15" customHeight="1" x14ac:dyDescent="0.25">
      <c r="D26" s="3"/>
      <c r="E26" s="3"/>
      <c r="F26"/>
      <c r="G26" s="31"/>
      <c r="H26" s="31"/>
      <c r="I26" s="32"/>
      <c r="J26" s="3"/>
      <c r="K26" s="3"/>
      <c r="M26"/>
    </row>
    <row r="27" spans="2:29" ht="15" customHeight="1" x14ac:dyDescent="0.25">
      <c r="D27" s="3"/>
      <c r="E27" s="3"/>
      <c r="F27"/>
      <c r="G27" s="31"/>
      <c r="H27" s="31"/>
      <c r="I27" s="32"/>
      <c r="J27" s="3"/>
      <c r="K27" s="3"/>
      <c r="M27"/>
    </row>
    <row r="28" spans="2:29" ht="15" customHeight="1" x14ac:dyDescent="0.25">
      <c r="B28"/>
      <c r="C28" s="30"/>
      <c r="D28" s="3"/>
      <c r="E28" s="3"/>
      <c r="F28"/>
      <c r="G28" s="31"/>
      <c r="H28" s="31"/>
      <c r="I28" s="32"/>
      <c r="J28" s="3"/>
      <c r="K28" s="3"/>
      <c r="M28"/>
    </row>
    <row r="29" spans="2:29" ht="15" customHeight="1" x14ac:dyDescent="0.25">
      <c r="B29" s="31"/>
      <c r="C29" s="32"/>
      <c r="D29" s="86"/>
      <c r="E29" s="86"/>
      <c r="F29"/>
      <c r="G29" s="31"/>
      <c r="H29" s="31"/>
      <c r="I29" s="32"/>
      <c r="J29" s="3"/>
      <c r="K29" s="3"/>
      <c r="M29"/>
    </row>
    <row r="30" spans="2:29" s="10" customFormat="1" ht="15" customHeight="1" x14ac:dyDescent="0.25">
      <c r="B30"/>
      <c r="C30" s="30"/>
      <c r="D30" s="86"/>
      <c r="E30" s="86"/>
      <c r="F30"/>
      <c r="G30" s="31"/>
      <c r="H30" s="31"/>
      <c r="I30" s="32"/>
      <c r="J30" s="3"/>
      <c r="K30" s="3"/>
      <c r="M30"/>
    </row>
    <row r="31" spans="2:29" ht="15" customHeight="1" x14ac:dyDescent="0.25">
      <c r="B31" s="31"/>
      <c r="C31" s="32"/>
      <c r="D31" s="3"/>
      <c r="E31" s="3"/>
      <c r="F31"/>
      <c r="G31" s="31"/>
      <c r="H31" s="31"/>
      <c r="I31" s="32"/>
      <c r="J31" s="3"/>
      <c r="K31" s="3"/>
      <c r="M31"/>
    </row>
    <row r="32" spans="2:29" ht="15" customHeight="1" x14ac:dyDescent="0.25">
      <c r="B32"/>
      <c r="C32" s="30"/>
      <c r="D32" s="3"/>
      <c r="E32" s="3"/>
      <c r="F32"/>
      <c r="G32"/>
      <c r="H32"/>
      <c r="I32" s="30"/>
      <c r="J32" s="86"/>
      <c r="K32" s="86"/>
      <c r="M32"/>
    </row>
    <row r="33" spans="2:18" ht="15" customHeight="1" x14ac:dyDescent="0.25">
      <c r="B33"/>
      <c r="C33" s="30"/>
      <c r="D33" s="3"/>
      <c r="E33" s="3"/>
      <c r="F33"/>
      <c r="G33"/>
      <c r="H33"/>
      <c r="I33" s="30"/>
      <c r="J33" s="3"/>
      <c r="K33" s="3"/>
      <c r="M33"/>
    </row>
    <row r="34" spans="2:18" ht="15" customHeight="1" x14ac:dyDescent="0.25">
      <c r="B34"/>
      <c r="C34" s="30"/>
      <c r="D34" s="3"/>
      <c r="E34" s="3"/>
      <c r="F34"/>
      <c r="G34"/>
      <c r="H34"/>
      <c r="I34" s="30"/>
      <c r="J34" s="3"/>
      <c r="K34" s="3"/>
      <c r="M34"/>
    </row>
    <row r="35" spans="2:18" ht="15" customHeight="1" x14ac:dyDescent="0.25">
      <c r="B35"/>
      <c r="C35" s="30"/>
      <c r="D35" s="3"/>
      <c r="E35" s="3"/>
      <c r="F35"/>
      <c r="G35" s="31"/>
      <c r="H35" s="31"/>
      <c r="I35" s="32"/>
      <c r="J35" s="3"/>
      <c r="K35" s="3"/>
      <c r="M35"/>
    </row>
    <row r="36" spans="2:18" ht="15" customHeight="1" x14ac:dyDescent="0.25">
      <c r="B36" s="31"/>
      <c r="C36" s="32"/>
      <c r="D36" s="3"/>
      <c r="E36" s="3"/>
      <c r="F36"/>
      <c r="G36"/>
      <c r="H36"/>
      <c r="I36" s="30"/>
      <c r="J36" s="3"/>
      <c r="K36" s="3"/>
      <c r="M36"/>
    </row>
    <row r="37" spans="2:18" ht="15" customHeight="1" x14ac:dyDescent="0.25">
      <c r="B37"/>
      <c r="C37" s="30"/>
      <c r="D37" s="3"/>
      <c r="E37" s="3"/>
      <c r="F37"/>
      <c r="I37" s="1"/>
      <c r="K37" s="1"/>
      <c r="M37"/>
    </row>
    <row r="38" spans="2:18" ht="15" customHeight="1" x14ac:dyDescent="0.25">
      <c r="B38"/>
      <c r="C38" s="30"/>
      <c r="D38" s="3"/>
      <c r="E38" s="3"/>
      <c r="F38"/>
      <c r="M38"/>
    </row>
    <row r="39" spans="2:18" ht="15" customHeight="1" x14ac:dyDescent="0.25">
      <c r="D39" s="12"/>
      <c r="E39" s="12"/>
      <c r="M39"/>
    </row>
    <row r="40" spans="2:18" ht="15" customHeight="1" x14ac:dyDescent="0.25">
      <c r="B40" s="84"/>
      <c r="C40" s="85"/>
      <c r="D40" s="83"/>
      <c r="E40" s="83"/>
      <c r="M40"/>
    </row>
    <row r="41" spans="2:18" ht="15" customHeight="1" x14ac:dyDescent="0.25">
      <c r="B41" s="84"/>
      <c r="C41" s="85"/>
      <c r="D41" s="83"/>
      <c r="E41" s="83"/>
      <c r="M41"/>
    </row>
    <row r="42" spans="2:18" ht="15" customHeight="1" x14ac:dyDescent="0.25">
      <c r="D42" s="83"/>
      <c r="E42" s="83"/>
      <c r="M42"/>
      <c r="N42"/>
      <c r="O42" s="3"/>
      <c r="P42" s="33"/>
      <c r="Q42"/>
      <c r="R42"/>
    </row>
    <row r="43" spans="2:18" ht="15" customHeight="1" x14ac:dyDescent="0.25">
      <c r="M43"/>
      <c r="N43" s="31"/>
      <c r="O43" s="3"/>
      <c r="P43" s="33"/>
      <c r="Q43" s="31"/>
      <c r="R43" s="31"/>
    </row>
  </sheetData>
  <mergeCells count="24">
    <mergeCell ref="B14:E14"/>
    <mergeCell ref="G14:K14"/>
    <mergeCell ref="X8:Y8"/>
    <mergeCell ref="G9:I9"/>
    <mergeCell ref="J9:K9"/>
    <mergeCell ref="B12:K12"/>
    <mergeCell ref="B13:C13"/>
    <mergeCell ref="G13:I13"/>
    <mergeCell ref="M2:R2"/>
    <mergeCell ref="T2:Y2"/>
    <mergeCell ref="G5:I5"/>
    <mergeCell ref="J5:K5"/>
    <mergeCell ref="B7:B8"/>
    <mergeCell ref="G7:I7"/>
    <mergeCell ref="J7:K7"/>
    <mergeCell ref="G8:I8"/>
    <mergeCell ref="J8:K8"/>
    <mergeCell ref="B3:B4"/>
    <mergeCell ref="G3:I3"/>
    <mergeCell ref="J3:K3"/>
    <mergeCell ref="J4:K4"/>
    <mergeCell ref="D2:E3"/>
    <mergeCell ref="G2:I2"/>
    <mergeCell ref="J2:K2"/>
  </mergeCells>
  <conditionalFormatting sqref="B3">
    <cfRule type="cellIs" dxfId="15" priority="5" operator="lessThan">
      <formula>0</formula>
    </cfRule>
    <cfRule type="cellIs" dxfId="14" priority="6" operator="greaterThan">
      <formula>0</formula>
    </cfRule>
    <cfRule type="cellIs" dxfId="13" priority="7" operator="lessThan">
      <formula>0</formula>
    </cfRule>
  </conditionalFormatting>
  <conditionalFormatting sqref="B7">
    <cfRule type="cellIs" dxfId="12" priority="3" operator="lessThan">
      <formula>0</formula>
    </cfRule>
    <cfRule type="cellIs" dxfId="11" priority="4" operator="greaterThan">
      <formula>0</formula>
    </cfRule>
  </conditionalFormatting>
  <conditionalFormatting sqref="J9:J10 I11">
    <cfRule type="cellIs" dxfId="10" priority="1" operator="greaterThan">
      <formula>0</formula>
    </cfRule>
    <cfRule type="cellIs" dxfId="9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AB38"/>
  <sheetViews>
    <sheetView showGridLines="0" zoomScale="90" zoomScaleNormal="90" workbookViewId="0">
      <selection activeCell="B7" sqref="B7:B8"/>
    </sheetView>
  </sheetViews>
  <sheetFormatPr defaultColWidth="14.42578125" defaultRowHeight="15" customHeight="1" x14ac:dyDescent="0.25"/>
  <cols>
    <col min="1" max="1" width="1.7109375" style="1" customWidth="1"/>
    <col min="2" max="2" width="30.7109375" style="1" customWidth="1"/>
    <col min="3" max="3" width="20.7109375" style="34" customWidth="1"/>
    <col min="4" max="4" width="15.7109375" style="12" customWidth="1"/>
    <col min="5" max="5" width="15.7109375" style="16" customWidth="1"/>
    <col min="6" max="6" width="1.7109375" style="1" customWidth="1"/>
    <col min="7" max="7" width="30.7109375" style="1" customWidth="1"/>
    <col min="8" max="8" width="12.7109375" style="1" customWidth="1"/>
    <col min="9" max="9" width="20.7109375" style="34" customWidth="1"/>
    <col min="10" max="10" width="15.7109375" style="12" customWidth="1"/>
    <col min="11" max="11" width="15.7109375" style="16" customWidth="1"/>
    <col min="12" max="12" width="2.7109375" style="14" customWidth="1"/>
    <col min="13" max="13" width="19.7109375" style="12" customWidth="1"/>
    <col min="14" max="14" width="21.5703125" style="1" bestFit="1" customWidth="1"/>
    <col min="15" max="15" width="17.85546875" style="1" bestFit="1" customWidth="1"/>
    <col min="16" max="16" width="16.7109375" style="1" bestFit="1" customWidth="1"/>
    <col min="17" max="17" width="17.7109375" style="1" bestFit="1" customWidth="1"/>
    <col min="18" max="18" width="13.5703125" style="1" bestFit="1" customWidth="1"/>
    <col min="19" max="21" width="8.7109375" style="1" customWidth="1"/>
    <col min="22" max="22" width="9.7109375" style="1" bestFit="1" customWidth="1"/>
    <col min="23" max="23" width="8.7109375" style="1" customWidth="1"/>
    <col min="24" max="24" width="8.140625" style="1" bestFit="1" customWidth="1"/>
    <col min="25" max="25" width="9.7109375" style="1" bestFit="1" customWidth="1"/>
    <col min="26" max="27" width="8.7109375" style="1" customWidth="1"/>
    <col min="28" max="16384" width="14.42578125" style="1"/>
  </cols>
  <sheetData>
    <row r="1" spans="2:28" customFormat="1" ht="9.9499999999999993" customHeight="1" x14ac:dyDescent="0.25">
      <c r="C1" s="34"/>
      <c r="D1" s="3"/>
      <c r="E1" s="3"/>
      <c r="I1" s="34"/>
      <c r="J1" s="3"/>
      <c r="K1" s="3"/>
    </row>
    <row r="2" spans="2:28" s="10" customFormat="1" ht="15" customHeight="1" x14ac:dyDescent="0.25">
      <c r="B2" s="54" t="s">
        <v>0</v>
      </c>
      <c r="C2" s="43"/>
      <c r="D2" s="156" t="s">
        <v>59</v>
      </c>
      <c r="E2" s="157"/>
      <c r="G2" s="160" t="s">
        <v>8</v>
      </c>
      <c r="H2" s="161"/>
      <c r="I2" s="161"/>
      <c r="J2" s="162">
        <f>SUM(E4:E8)</f>
        <v>0</v>
      </c>
      <c r="K2" s="163"/>
      <c r="L2" s="17"/>
      <c r="M2" s="135" t="s">
        <v>55</v>
      </c>
      <c r="N2" s="135"/>
      <c r="O2" s="135"/>
      <c r="P2" s="135"/>
      <c r="Q2" s="135"/>
      <c r="R2" s="135"/>
      <c r="T2" s="136" t="s">
        <v>104</v>
      </c>
      <c r="U2" s="137"/>
      <c r="V2" s="137"/>
      <c r="W2" s="137"/>
      <c r="X2" s="137"/>
      <c r="Y2" s="137"/>
      <c r="Z2"/>
      <c r="AA2" s="90"/>
      <c r="AB2" s="90"/>
    </row>
    <row r="3" spans="2:28" s="10" customFormat="1" ht="15" customHeight="1" x14ac:dyDescent="0.25">
      <c r="B3" s="142">
        <f>SUM(Faturamento!B5,K12-E12)</f>
        <v>0</v>
      </c>
      <c r="C3" s="41"/>
      <c r="D3" s="158"/>
      <c r="E3" s="159"/>
      <c r="G3" s="152" t="s">
        <v>19</v>
      </c>
      <c r="H3" s="153"/>
      <c r="I3" s="153"/>
      <c r="J3" s="154">
        <f>SUM(J2-B3)</f>
        <v>0</v>
      </c>
      <c r="K3" s="155"/>
      <c r="L3" s="18"/>
      <c r="M3" s="21"/>
      <c r="N3" s="22"/>
      <c r="O3" s="27"/>
      <c r="P3" s="19"/>
      <c r="Q3" s="24"/>
      <c r="R3" s="21"/>
      <c r="T3" s="90"/>
      <c r="U3" s="92"/>
      <c r="V3" s="91"/>
      <c r="W3" s="91"/>
      <c r="X3" s="90"/>
      <c r="Y3" s="90"/>
      <c r="Z3" s="91"/>
      <c r="AA3" s="90"/>
      <c r="AB3" s="90"/>
    </row>
    <row r="4" spans="2:28" ht="21.75" thickBot="1" x14ac:dyDescent="0.25">
      <c r="B4" s="143"/>
      <c r="C4" s="42"/>
      <c r="D4" s="58" t="s">
        <v>5</v>
      </c>
      <c r="E4" s="59">
        <v>0</v>
      </c>
      <c r="G4" s="52"/>
      <c r="H4" s="49"/>
      <c r="I4" s="50"/>
      <c r="J4" s="154"/>
      <c r="K4" s="155"/>
      <c r="L4" s="13"/>
      <c r="N4" s="115" t="s">
        <v>79</v>
      </c>
      <c r="O4" s="114">
        <f>SUM(N7:R11)</f>
        <v>0</v>
      </c>
      <c r="P4" s="114"/>
      <c r="Q4" s="28"/>
      <c r="R4" s="20"/>
      <c r="T4" s="93" t="s">
        <v>1</v>
      </c>
      <c r="U4" s="94" t="s">
        <v>105</v>
      </c>
      <c r="V4" s="95" t="s">
        <v>91</v>
      </c>
      <c r="W4" s="95" t="s">
        <v>3</v>
      </c>
      <c r="X4" s="96" t="s">
        <v>106</v>
      </c>
      <c r="Y4" s="97">
        <f>SUM(V5:V21)</f>
        <v>0</v>
      </c>
      <c r="AA4" s="90" t="s">
        <v>107</v>
      </c>
      <c r="AB4" s="90"/>
    </row>
    <row r="5" spans="2:28" ht="21.75" thickTop="1" x14ac:dyDescent="0.2">
      <c r="B5" s="55"/>
      <c r="C5" s="42"/>
      <c r="D5" s="60" t="s">
        <v>29</v>
      </c>
      <c r="E5" s="61">
        <v>0</v>
      </c>
      <c r="G5" s="138" t="s">
        <v>18</v>
      </c>
      <c r="H5" s="139"/>
      <c r="I5" s="139"/>
      <c r="J5" s="140">
        <f>K15</f>
        <v>0</v>
      </c>
      <c r="K5" s="141"/>
      <c r="L5" s="13"/>
      <c r="M5" s="23"/>
      <c r="N5" s="25"/>
      <c r="O5" s="26"/>
      <c r="P5" s="23"/>
      <c r="Q5" s="29"/>
      <c r="R5" s="23"/>
      <c r="T5" s="98" t="s">
        <v>83</v>
      </c>
      <c r="U5" s="99"/>
      <c r="V5" s="100"/>
      <c r="W5" s="101"/>
      <c r="X5" s="102" t="s">
        <v>108</v>
      </c>
      <c r="Y5" s="103">
        <f>SUM(W5:W21)</f>
        <v>0</v>
      </c>
      <c r="AA5" s="90"/>
      <c r="AB5" s="90"/>
    </row>
    <row r="6" spans="2:28" ht="15" customHeight="1" x14ac:dyDescent="0.25">
      <c r="B6" s="56" t="s">
        <v>2</v>
      </c>
      <c r="C6" s="42"/>
      <c r="D6" s="62" t="s">
        <v>9</v>
      </c>
      <c r="E6" s="63">
        <v>0</v>
      </c>
      <c r="G6" s="52"/>
      <c r="H6" s="49"/>
      <c r="I6" s="50"/>
      <c r="J6" s="51"/>
      <c r="K6" s="53"/>
      <c r="L6" s="13"/>
      <c r="M6" s="22"/>
      <c r="N6" s="35" t="s">
        <v>5</v>
      </c>
      <c r="O6" s="36" t="s">
        <v>52</v>
      </c>
      <c r="P6" s="37" t="s">
        <v>30</v>
      </c>
      <c r="Q6" s="38" t="s">
        <v>9</v>
      </c>
      <c r="R6" s="89" t="s">
        <v>98</v>
      </c>
      <c r="T6" s="104" t="s">
        <v>96</v>
      </c>
      <c r="U6" s="105"/>
      <c r="V6" s="106"/>
      <c r="W6" s="107"/>
      <c r="X6" s="108" t="s">
        <v>109</v>
      </c>
      <c r="Y6" s="109">
        <f>SUM(Y4-Y5)</f>
        <v>0</v>
      </c>
      <c r="AA6" s="90" t="s">
        <v>110</v>
      </c>
      <c r="AB6" s="90">
        <v>7003157185</v>
      </c>
    </row>
    <row r="7" spans="2:28" ht="15.75" x14ac:dyDescent="0.25">
      <c r="B7" s="142">
        <f>SUM(J12-D12)+Faturamento!B5</f>
        <v>-9266.7200000000012</v>
      </c>
      <c r="C7" s="42"/>
      <c r="D7" s="64" t="s">
        <v>30</v>
      </c>
      <c r="E7" s="65">
        <v>0</v>
      </c>
      <c r="G7" s="144" t="s">
        <v>15</v>
      </c>
      <c r="H7" s="145"/>
      <c r="I7" s="145"/>
      <c r="J7" s="146">
        <f>SUM(J5*10)/100</f>
        <v>0</v>
      </c>
      <c r="K7" s="147"/>
      <c r="L7" s="13"/>
      <c r="M7" s="70" t="s">
        <v>24</v>
      </c>
      <c r="N7" s="72">
        <f>SUMIFS(Tabela41012151821242730333935[VALOR],Tabela41012151821242730333935[COMPRADOR],"Augusto",Tabela41012151821242730333935[BANCO],"Inter")</f>
        <v>0</v>
      </c>
      <c r="O7" s="72">
        <f>SUMIFS(Tabela41012151821242730333935[VALOR],Tabela41012151821242730333935[COMPRADOR],"Augusto",Tabela41012151821242730333935[BANCO],"Santander")</f>
        <v>0</v>
      </c>
      <c r="P7" s="72">
        <f>SUMIFS(Tabela41012151821242730333935[VALOR],Tabela41012151821242730333935[COMPRADOR],"Augusto",Tabela41012151821242730333935[BANCO],"Mercado Pago")</f>
        <v>0</v>
      </c>
      <c r="Q7" s="73">
        <f>SUMIFS(Tabela41012151821242730333935[VALOR],Tabela41012151821242730333935[COMPRADOR],"Augusto",Tabela41012151821242730333935[BANCO],"NuBank")</f>
        <v>0</v>
      </c>
      <c r="R7" s="73">
        <f>SUMIFS(Tabela41012151821242730333935[VALOR],Tabela41012151821242730333935[COMPRADOR],"Augusto",Tabela41012151821242730333935[BANCO],"PicPay")</f>
        <v>0</v>
      </c>
      <c r="T7" s="98" t="s">
        <v>97</v>
      </c>
      <c r="U7" s="99"/>
      <c r="V7" s="100"/>
      <c r="W7" s="101"/>
      <c r="X7" s="90"/>
      <c r="Y7" s="90"/>
      <c r="Z7" s="91"/>
      <c r="AA7" s="90" t="s">
        <v>111</v>
      </c>
      <c r="AB7" s="90">
        <v>3001236814</v>
      </c>
    </row>
    <row r="8" spans="2:28" ht="15.75" x14ac:dyDescent="0.25">
      <c r="B8" s="143"/>
      <c r="C8" s="42"/>
      <c r="D8" s="66" t="s">
        <v>7</v>
      </c>
      <c r="E8" s="67">
        <v>0</v>
      </c>
      <c r="G8" s="148" t="s">
        <v>16</v>
      </c>
      <c r="H8" s="149"/>
      <c r="I8" s="149"/>
      <c r="J8" s="150">
        <f>SUM(J5-J7)</f>
        <v>0</v>
      </c>
      <c r="K8" s="151"/>
      <c r="M8" s="70" t="s">
        <v>28</v>
      </c>
      <c r="N8" s="72">
        <f>SUMIFS(Tabela41012151821242730333935[VALOR],Tabela41012151821242730333935[COMPRADOR],"Anna",Tabela41012151821242730333935[BANCO],"Inter")</f>
        <v>0</v>
      </c>
      <c r="O8" s="72">
        <f>SUMIFS(Tabela41012151821242730333935[VALOR],Tabela41012151821242730333935[COMPRADOR],"Anna",Tabela41012151821242730333935[BANCO],"Santander")</f>
        <v>0</v>
      </c>
      <c r="P8" s="72">
        <f>SUMIFS(Tabela41012151821242730333935[VALOR],Tabela41012151821242730333935[COMPRADOR],"Anna",Tabela41012151821242730333935[BANCO],"Mercado Pago")</f>
        <v>0</v>
      </c>
      <c r="Q8" s="73">
        <f>SUMIFS(Tabela41012151821242730333935[VALOR],Tabela41012151821242730333935[COMPRADOR],"Anna",Tabela41012151821242730333935[BANCO],"NuBank")</f>
        <v>0</v>
      </c>
      <c r="R8" s="73">
        <f>SUMIFS(Tabela41012151821242730333935[VALOR],Tabela41012151821242730333935[COMPRADOR],"Anna",Tabela41012151821242730333935[BANCO],"PicPay")</f>
        <v>0</v>
      </c>
      <c r="T8" s="104"/>
      <c r="U8" s="105"/>
      <c r="V8" s="106"/>
      <c r="W8" s="107"/>
      <c r="X8" s="126" t="s">
        <v>112</v>
      </c>
      <c r="Y8" s="127"/>
      <c r="Z8"/>
      <c r="AA8" s="90" t="s">
        <v>113</v>
      </c>
      <c r="AB8" s="90" t="s">
        <v>114</v>
      </c>
    </row>
    <row r="9" spans="2:28" ht="15.75" x14ac:dyDescent="0.25">
      <c r="B9" s="57"/>
      <c r="C9" s="44"/>
      <c r="D9" s="68"/>
      <c r="E9" s="69"/>
      <c r="G9" s="128" t="s">
        <v>17</v>
      </c>
      <c r="H9" s="129"/>
      <c r="I9" s="129"/>
      <c r="J9" s="130">
        <f>SUM(J8-E12)</f>
        <v>0</v>
      </c>
      <c r="K9" s="131"/>
      <c r="M9" s="70" t="s">
        <v>26</v>
      </c>
      <c r="N9" s="72">
        <f>SUMIFS(Tabela41012151821242730333935[VALOR],Tabela41012151821242730333935[COMPRADOR],"Lila",Tabela41012151821242730333935[BANCO],"Inter")</f>
        <v>0</v>
      </c>
      <c r="O9" s="72">
        <f>SUMIFS(Tabela41012151821242730333935[VALOR],Tabela41012151821242730333935[COMPRADOR],"Lila",Tabela41012151821242730333935[BANCO],"Santander")</f>
        <v>0</v>
      </c>
      <c r="P9" s="72">
        <f>SUMIFS(Tabela41012151821242730333935[VALOR],Tabela41012151821242730333935[COMPRADOR],"Lila",Tabela41012151821242730333935[BANCO],"Mercado Pago")</f>
        <v>0</v>
      </c>
      <c r="Q9" s="73">
        <f>SUMIFS(Tabela41012151821242730333935[VALOR],Tabela41012151821242730333935[COMPRADOR],"Lila",Tabela41012151821242730333935[BANCO],"NuBank")</f>
        <v>0</v>
      </c>
      <c r="R9" s="73">
        <f>SUMIFS(Tabela41012151821242730333935[VALOR],Tabela41012151821242730333935[COMPRADOR],"Lila",Tabela41012151821242730333935[BANCO],"PicPay")</f>
        <v>0</v>
      </c>
      <c r="T9" s="98"/>
      <c r="U9" s="99"/>
      <c r="V9" s="100"/>
      <c r="W9" s="101"/>
      <c r="X9" s="112" t="s">
        <v>24</v>
      </c>
      <c r="Y9" s="110">
        <f>((Y4*70)/100)+Y18</f>
        <v>0</v>
      </c>
      <c r="Z9"/>
      <c r="AA9" s="90"/>
      <c r="AB9" s="90"/>
    </row>
    <row r="10" spans="2:28" ht="15.75" x14ac:dyDescent="0.25">
      <c r="B10" s="45"/>
      <c r="C10" s="42"/>
      <c r="D10" s="45"/>
      <c r="E10" s="46"/>
      <c r="G10" s="47"/>
      <c r="H10" s="47"/>
      <c r="I10" s="48"/>
      <c r="J10" s="45"/>
      <c r="K10" s="46"/>
      <c r="M10" s="70" t="s">
        <v>54</v>
      </c>
      <c r="N10" s="72">
        <f>SUMIFS(Tabela41012151821242730333935[VALOR],Tabela41012151821242730333935[COMPRADOR],"Paula",Tabela41012151821242730333935[BANCO],"Inter")</f>
        <v>0</v>
      </c>
      <c r="O10" s="72">
        <f>SUMIFS(Tabela41012151821242730333935[VALOR],Tabela41012151821242730333935[COMPRADOR],"Paula",Tabela41012151821242730333935[BANCO],"Santander")</f>
        <v>0</v>
      </c>
      <c r="P10" s="72">
        <f>SUMIFS(Tabela41012151821242730333935[VALOR],Tabela41012151821242730333935[COMPRADOR],"Paula",Tabela41012151821242730333935[BANCO],"Mercado Pago")</f>
        <v>0</v>
      </c>
      <c r="Q10" s="73">
        <f>SUMIFS(Tabela41012151821242730333935[VALOR],Tabela41012151821242730333935[COMPRADOR],"Paula",Tabela41012151821242730333935[BANCO],"NuBank")</f>
        <v>0</v>
      </c>
      <c r="R10" s="73">
        <f>SUMIFS(Tabela41012151821242730333935[VALOR],Tabela41012151821242730333935[COMPRADOR],"Paula",Tabela41012151821242730333935[BANCO],"PicPay")</f>
        <v>0</v>
      </c>
      <c r="T10" s="104"/>
      <c r="U10" s="105"/>
      <c r="V10" s="106"/>
      <c r="W10" s="107"/>
      <c r="X10" s="113"/>
      <c r="Y10" s="111"/>
      <c r="AA10" s="90"/>
      <c r="AB10" s="90"/>
    </row>
    <row r="11" spans="2:28" ht="30" customHeight="1" x14ac:dyDescent="0.2">
      <c r="B11" s="132" t="s">
        <v>72</v>
      </c>
      <c r="C11" s="132"/>
      <c r="D11" s="132"/>
      <c r="E11" s="132"/>
      <c r="F11" s="132"/>
      <c r="G11" s="132"/>
      <c r="H11" s="132"/>
      <c r="I11" s="132"/>
      <c r="J11" s="132"/>
      <c r="K11" s="132"/>
      <c r="M11" s="71" t="s">
        <v>128</v>
      </c>
      <c r="N11" s="74">
        <f>SUMIFS(Tabela41012151821242730333935[VALOR],Tabela41012151821242730333935[COMPRADOR],"Claudio",Tabela41012151821242730333935[BANCO],"Inter")</f>
        <v>0</v>
      </c>
      <c r="O11" s="74">
        <f>SUMIFS(Tabela41012151821242730333935[VALOR],Tabela41012151821242730333935[COMPRADOR],"Claudio",Tabela41012151821242730333935[BANCO],"Santander")</f>
        <v>0</v>
      </c>
      <c r="P11" s="74">
        <f>SUMIFS(Tabela41012151821242730333935[VALOR],Tabela41012151821242730333935[COMPRADOR],"Claudio",Tabela41012151821242730333935[BANCO],"Mercado Pago")</f>
        <v>0</v>
      </c>
      <c r="Q11" s="75">
        <f>SUMIFS(Tabela41012151821242730333935[VALOR],Tabela41012151821242730333935[COMPRADOR],"Claudio",Tabela41012151821242730333935[BANCO],"NuBank")</f>
        <v>0</v>
      </c>
      <c r="R11" s="75">
        <f>SUMIFS(Tabela41012151821242730333935[VALOR],Tabela41012151821242730333935[COMPRADOR],"Claudio",Tabela41012151821242730333935[BANCO],"PicPay")</f>
        <v>0</v>
      </c>
      <c r="T11" s="98"/>
      <c r="U11" s="99"/>
      <c r="V11" s="100"/>
      <c r="W11" s="101"/>
      <c r="X11" s="112" t="s">
        <v>89</v>
      </c>
      <c r="Y11" s="110">
        <f>((Y4*30)/100)+Y18</f>
        <v>0</v>
      </c>
      <c r="Z11" s="10"/>
      <c r="AA11" s="90"/>
      <c r="AB11" s="90"/>
    </row>
    <row r="12" spans="2:28" ht="24.95" customHeight="1" x14ac:dyDescent="0.25">
      <c r="B12" s="133" t="s">
        <v>8</v>
      </c>
      <c r="C12" s="133"/>
      <c r="D12" s="88">
        <f>SUM(D15:D31)</f>
        <v>18495.72</v>
      </c>
      <c r="E12" s="88">
        <f>SUM(E15:E31)</f>
        <v>0</v>
      </c>
      <c r="F12" s="77"/>
      <c r="G12" s="134" t="s">
        <v>8</v>
      </c>
      <c r="H12" s="134"/>
      <c r="I12" s="134"/>
      <c r="J12" s="88">
        <f>SUM(J15:J30)</f>
        <v>9229</v>
      </c>
      <c r="K12" s="88">
        <f>SUM(K15:K30)</f>
        <v>0</v>
      </c>
      <c r="M12" s="21"/>
      <c r="T12" s="104"/>
      <c r="U12" s="105"/>
      <c r="V12" s="106"/>
      <c r="W12" s="107"/>
      <c r="X12" s="90"/>
      <c r="Y12" s="90"/>
      <c r="Z12" s="91"/>
      <c r="AA12" s="90"/>
      <c r="AB12" s="90"/>
    </row>
    <row r="13" spans="2:28" x14ac:dyDescent="0.25">
      <c r="B13" s="124" t="s">
        <v>20</v>
      </c>
      <c r="C13" s="124"/>
      <c r="D13" s="124"/>
      <c r="E13" s="124"/>
      <c r="F13" s="78"/>
      <c r="G13" s="125" t="s">
        <v>21</v>
      </c>
      <c r="H13" s="125"/>
      <c r="I13" s="125"/>
      <c r="J13" s="125"/>
      <c r="K13" s="125"/>
      <c r="M13" s="21"/>
      <c r="N13" s="81" t="s">
        <v>1</v>
      </c>
      <c r="O13" s="81" t="s">
        <v>91</v>
      </c>
      <c r="P13" s="81" t="s">
        <v>94</v>
      </c>
      <c r="Q13" s="81" t="s">
        <v>92</v>
      </c>
      <c r="R13" s="81" t="s">
        <v>93</v>
      </c>
      <c r="T13" s="98"/>
      <c r="U13" s="99"/>
      <c r="V13" s="100"/>
      <c r="W13" s="101"/>
      <c r="X13" s="90"/>
      <c r="Y13" s="90"/>
      <c r="Z13" s="91"/>
      <c r="AA13" s="90"/>
      <c r="AB13" s="90"/>
    </row>
    <row r="14" spans="2:28" x14ac:dyDescent="0.25">
      <c r="B14" s="79" t="s">
        <v>1</v>
      </c>
      <c r="C14" s="79" t="s">
        <v>63</v>
      </c>
      <c r="D14" s="80" t="s">
        <v>2</v>
      </c>
      <c r="E14" s="80" t="s">
        <v>3</v>
      </c>
      <c r="F14" s="81"/>
      <c r="G14" s="81" t="s">
        <v>1</v>
      </c>
      <c r="H14" s="81" t="s">
        <v>74</v>
      </c>
      <c r="I14" s="81" t="s">
        <v>63</v>
      </c>
      <c r="J14" s="82" t="s">
        <v>2</v>
      </c>
      <c r="K14" s="82" t="s">
        <v>4</v>
      </c>
      <c r="M14"/>
      <c r="N14" s="31"/>
      <c r="O14" s="3"/>
      <c r="P14" s="33"/>
      <c r="Q14" s="31"/>
      <c r="R14" s="31"/>
      <c r="T14" s="104"/>
      <c r="U14" s="105"/>
      <c r="V14" s="106"/>
      <c r="W14" s="107"/>
      <c r="X14" s="90"/>
      <c r="Y14" s="90"/>
      <c r="Z14" s="91"/>
      <c r="AA14" s="90"/>
      <c r="AB14" s="90"/>
    </row>
    <row r="15" spans="2:28" x14ac:dyDescent="0.25">
      <c r="B15" s="31" t="s">
        <v>31</v>
      </c>
      <c r="C15" s="76" t="s">
        <v>80</v>
      </c>
      <c r="D15" s="3">
        <v>350</v>
      </c>
      <c r="E15" s="3"/>
      <c r="F15"/>
      <c r="G15" s="31" t="s">
        <v>32</v>
      </c>
      <c r="H15" s="31" t="s">
        <v>75</v>
      </c>
      <c r="I15" s="32" t="s">
        <v>68</v>
      </c>
      <c r="J15" s="3">
        <v>3412.17</v>
      </c>
      <c r="K15" s="3"/>
      <c r="M15"/>
      <c r="N15" s="31"/>
      <c r="O15" s="3"/>
      <c r="P15" s="33"/>
      <c r="Q15" s="31"/>
      <c r="R15" s="31"/>
      <c r="T15" s="98"/>
      <c r="U15" s="99"/>
      <c r="V15" s="100"/>
      <c r="W15" s="101"/>
      <c r="X15" s="90"/>
      <c r="Y15" s="90"/>
      <c r="Z15" s="91"/>
      <c r="AA15" s="90"/>
      <c r="AB15" s="90"/>
    </row>
    <row r="16" spans="2:28" x14ac:dyDescent="0.25">
      <c r="B16" s="31" t="s">
        <v>90</v>
      </c>
      <c r="C16" s="76" t="s">
        <v>87</v>
      </c>
      <c r="D16" s="86">
        <v>127.71</v>
      </c>
      <c r="E16" s="3"/>
      <c r="F16"/>
      <c r="G16" s="31" t="s">
        <v>77</v>
      </c>
      <c r="H16" s="31" t="s">
        <v>75</v>
      </c>
      <c r="I16" s="32" t="s">
        <v>68</v>
      </c>
      <c r="J16" s="3">
        <v>50</v>
      </c>
      <c r="K16" s="3"/>
      <c r="M16"/>
      <c r="N16" s="31"/>
      <c r="O16" s="3"/>
      <c r="P16" s="33"/>
      <c r="Q16" s="31"/>
      <c r="R16" s="31"/>
      <c r="T16" s="104"/>
      <c r="U16" s="105"/>
      <c r="V16" s="106"/>
      <c r="W16" s="107"/>
      <c r="X16" s="90"/>
      <c r="Y16" s="90"/>
      <c r="Z16" s="91"/>
      <c r="AA16" s="90"/>
      <c r="AB16" s="90"/>
    </row>
    <row r="17" spans="2:28" x14ac:dyDescent="0.25">
      <c r="B17" s="31" t="s">
        <v>118</v>
      </c>
      <c r="C17" s="32" t="s">
        <v>86</v>
      </c>
      <c r="D17" s="86">
        <f>SUM(V5:V6)</f>
        <v>0</v>
      </c>
      <c r="E17" s="3"/>
      <c r="F17"/>
      <c r="G17" s="31" t="s">
        <v>84</v>
      </c>
      <c r="H17" s="31" t="s">
        <v>128</v>
      </c>
      <c r="I17" s="32" t="s">
        <v>53</v>
      </c>
      <c r="J17" s="3">
        <f>SUM(N10:R10)</f>
        <v>0</v>
      </c>
      <c r="K17" s="3"/>
      <c r="M17"/>
      <c r="N17" s="31"/>
      <c r="O17" s="3"/>
      <c r="P17" s="33"/>
      <c r="Q17" s="31"/>
      <c r="R17" s="31"/>
      <c r="T17" s="98"/>
      <c r="U17" s="99"/>
      <c r="V17" s="100"/>
      <c r="W17" s="101"/>
      <c r="X17" s="90"/>
      <c r="Y17" s="91"/>
      <c r="AA17" s="90"/>
      <c r="AB17" s="90"/>
    </row>
    <row r="18" spans="2:28" x14ac:dyDescent="0.25">
      <c r="B18" s="31" t="s">
        <v>30</v>
      </c>
      <c r="C18" s="76" t="s">
        <v>55</v>
      </c>
      <c r="D18" s="12">
        <v>1062.98</v>
      </c>
      <c r="E18" s="3"/>
      <c r="F18"/>
      <c r="G18" s="31" t="s">
        <v>84</v>
      </c>
      <c r="H18" s="31" t="s">
        <v>54</v>
      </c>
      <c r="I18" s="32" t="s">
        <v>53</v>
      </c>
      <c r="J18" s="3">
        <f>SUM(N9:R9)</f>
        <v>0</v>
      </c>
      <c r="K18" s="3"/>
      <c r="M18"/>
      <c r="N18" s="31"/>
      <c r="O18" s="3"/>
      <c r="P18" s="33"/>
      <c r="Q18" s="31"/>
      <c r="R18" s="31"/>
      <c r="T18" s="104"/>
      <c r="U18" s="105"/>
      <c r="V18" s="106"/>
      <c r="W18" s="107"/>
      <c r="X18" s="90"/>
      <c r="Y18" s="91"/>
      <c r="AA18" s="90"/>
      <c r="AB18" s="90"/>
    </row>
    <row r="19" spans="2:28" x14ac:dyDescent="0.25">
      <c r="B19" s="31" t="s">
        <v>5</v>
      </c>
      <c r="C19" s="76" t="s">
        <v>55</v>
      </c>
      <c r="D19" s="12">
        <v>6072.57</v>
      </c>
      <c r="E19" s="86"/>
      <c r="F19"/>
      <c r="G19" s="31" t="s">
        <v>84</v>
      </c>
      <c r="H19" s="31" t="s">
        <v>25</v>
      </c>
      <c r="I19" s="32" t="s">
        <v>53</v>
      </c>
      <c r="J19" s="3">
        <f>SUM(N7:R7)</f>
        <v>0</v>
      </c>
      <c r="K19" s="3"/>
      <c r="M19"/>
      <c r="N19" s="31"/>
      <c r="O19" s="3"/>
      <c r="P19" s="118"/>
      <c r="Q19" s="31"/>
      <c r="R19" s="31"/>
      <c r="T19" s="98"/>
      <c r="U19" s="99"/>
      <c r="V19" s="100"/>
      <c r="W19" s="101"/>
      <c r="X19" s="90"/>
      <c r="Y19" s="90"/>
      <c r="Z19" s="91"/>
      <c r="AA19" s="90"/>
      <c r="AB19" s="90"/>
    </row>
    <row r="20" spans="2:28" x14ac:dyDescent="0.25">
      <c r="B20" s="31" t="s">
        <v>52</v>
      </c>
      <c r="C20" s="76" t="s">
        <v>55</v>
      </c>
      <c r="D20" s="12">
        <v>575.54999999999995</v>
      </c>
      <c r="E20" s="86"/>
      <c r="F20"/>
      <c r="G20" s="31" t="s">
        <v>118</v>
      </c>
      <c r="H20" s="31" t="s">
        <v>89</v>
      </c>
      <c r="I20" s="30" t="s">
        <v>101</v>
      </c>
      <c r="J20" s="86">
        <f>Y10</f>
        <v>0</v>
      </c>
      <c r="K20" s="86"/>
      <c r="M20"/>
      <c r="N20" s="84"/>
      <c r="O20" s="12"/>
      <c r="P20" s="39"/>
      <c r="Q20" s="84"/>
      <c r="R20" s="84"/>
      <c r="T20" s="104"/>
      <c r="U20" s="105"/>
      <c r="V20" s="106"/>
      <c r="W20" s="107"/>
      <c r="X20" s="90"/>
      <c r="Y20" s="90"/>
      <c r="Z20" s="91"/>
      <c r="AA20" s="90"/>
      <c r="AB20" s="90"/>
    </row>
    <row r="21" spans="2:28" x14ac:dyDescent="0.25">
      <c r="B21" s="31" t="s">
        <v>98</v>
      </c>
      <c r="C21" s="76" t="s">
        <v>55</v>
      </c>
      <c r="D21" s="12">
        <v>4763.92</v>
      </c>
      <c r="E21" s="86"/>
      <c r="F21"/>
      <c r="G21" s="31" t="s">
        <v>135</v>
      </c>
      <c r="H21" s="31" t="s">
        <v>75</v>
      </c>
      <c r="I21" s="32" t="s">
        <v>68</v>
      </c>
      <c r="J21" s="86">
        <v>1698.25</v>
      </c>
      <c r="K21" s="86"/>
      <c r="M21"/>
      <c r="O21" s="12"/>
      <c r="P21" s="30"/>
      <c r="T21" s="98"/>
      <c r="U21" s="99"/>
      <c r="V21" s="100"/>
      <c r="W21" s="101"/>
      <c r="X21" s="90"/>
      <c r="Y21" s="90"/>
      <c r="Z21" s="91"/>
      <c r="AA21" s="90"/>
      <c r="AB21" s="90"/>
    </row>
    <row r="22" spans="2:28" x14ac:dyDescent="0.25">
      <c r="B22" s="1" t="s">
        <v>102</v>
      </c>
      <c r="C22" s="34" t="s">
        <v>102</v>
      </c>
      <c r="D22" s="86">
        <v>1485.11</v>
      </c>
      <c r="E22" s="3"/>
      <c r="F22"/>
      <c r="G22" s="31" t="s">
        <v>136</v>
      </c>
      <c r="H22" s="31" t="s">
        <v>89</v>
      </c>
      <c r="I22" s="32" t="s">
        <v>66</v>
      </c>
      <c r="J22" s="86">
        <v>491.1</v>
      </c>
      <c r="K22" s="86"/>
      <c r="M22"/>
      <c r="O22" s="12"/>
      <c r="P22" s="30"/>
      <c r="T22" s="90"/>
      <c r="U22" s="92" t="s">
        <v>115</v>
      </c>
      <c r="V22" s="91">
        <f>SUM(V5:V21)</f>
        <v>0</v>
      </c>
      <c r="W22" s="91">
        <f>SUM(W5:W21)-V22</f>
        <v>0</v>
      </c>
      <c r="X22" s="90"/>
      <c r="Y22" s="90"/>
      <c r="Z22" s="91"/>
      <c r="AA22" s="90"/>
      <c r="AB22" s="90"/>
    </row>
    <row r="23" spans="2:28" x14ac:dyDescent="0.25">
      <c r="B23" t="s">
        <v>33</v>
      </c>
      <c r="C23" s="34" t="s">
        <v>66</v>
      </c>
      <c r="D23" s="3">
        <v>166.67</v>
      </c>
      <c r="E23" s="3"/>
      <c r="F23"/>
      <c r="G23" t="s">
        <v>46</v>
      </c>
      <c r="H23"/>
      <c r="I23" s="34" t="s">
        <v>15</v>
      </c>
      <c r="J23" s="3">
        <v>842.53</v>
      </c>
      <c r="K23" s="3"/>
    </row>
    <row r="24" spans="2:28" x14ac:dyDescent="0.25">
      <c r="B24" t="s">
        <v>35</v>
      </c>
      <c r="C24" s="34" t="s">
        <v>67</v>
      </c>
      <c r="D24" s="3">
        <v>144</v>
      </c>
      <c r="E24" s="3"/>
      <c r="F24"/>
      <c r="G24" t="s">
        <v>34</v>
      </c>
      <c r="H24"/>
      <c r="I24" s="34" t="s">
        <v>69</v>
      </c>
      <c r="J24" s="3">
        <v>982</v>
      </c>
      <c r="K24" s="3"/>
    </row>
    <row r="25" spans="2:28" x14ac:dyDescent="0.25">
      <c r="B25" t="s">
        <v>39</v>
      </c>
      <c r="C25" s="34" t="s">
        <v>64</v>
      </c>
      <c r="D25" s="3">
        <v>120</v>
      </c>
      <c r="E25" s="3"/>
      <c r="F25"/>
      <c r="G25" t="s">
        <v>36</v>
      </c>
      <c r="H25"/>
      <c r="I25" s="34" t="s">
        <v>70</v>
      </c>
      <c r="J25" s="3"/>
      <c r="K25" s="3"/>
    </row>
    <row r="26" spans="2:28" x14ac:dyDescent="0.25">
      <c r="B26" t="s">
        <v>40</v>
      </c>
      <c r="C26" s="34" t="s">
        <v>15</v>
      </c>
      <c r="D26" s="3">
        <v>100</v>
      </c>
      <c r="E26" s="3"/>
      <c r="F26"/>
      <c r="G26" t="s">
        <v>37</v>
      </c>
      <c r="H26"/>
      <c r="I26" s="34" t="s">
        <v>70</v>
      </c>
      <c r="J26" s="3">
        <v>174.45</v>
      </c>
      <c r="K26" s="3"/>
    </row>
    <row r="27" spans="2:28" ht="15.75" x14ac:dyDescent="0.25">
      <c r="B27" t="s">
        <v>44</v>
      </c>
      <c r="C27" s="34" t="s">
        <v>65</v>
      </c>
      <c r="D27" s="3">
        <v>3023.76</v>
      </c>
      <c r="E27" s="3"/>
      <c r="F27"/>
      <c r="G27" t="s">
        <v>38</v>
      </c>
      <c r="H27"/>
      <c r="I27" s="34" t="s">
        <v>71</v>
      </c>
      <c r="J27" s="3">
        <v>120</v>
      </c>
      <c r="K27" s="3"/>
      <c r="O27" s="10" t="s">
        <v>6</v>
      </c>
      <c r="P27" s="10"/>
    </row>
    <row r="28" spans="2:28" x14ac:dyDescent="0.25">
      <c r="B28" t="s">
        <v>45</v>
      </c>
      <c r="C28" s="34" t="s">
        <v>65</v>
      </c>
      <c r="D28" s="3">
        <v>23.45</v>
      </c>
      <c r="E28" s="3"/>
      <c r="F28"/>
      <c r="G28" t="s">
        <v>43</v>
      </c>
      <c r="H28"/>
      <c r="I28" s="34" t="s">
        <v>66</v>
      </c>
      <c r="J28" s="3">
        <v>379.45</v>
      </c>
      <c r="K28" s="3"/>
    </row>
    <row r="29" spans="2:28" s="10" customFormat="1" ht="15" customHeight="1" x14ac:dyDescent="0.25">
      <c r="B29" t="s">
        <v>48</v>
      </c>
      <c r="C29" s="34" t="s">
        <v>65</v>
      </c>
      <c r="D29" s="3">
        <v>20</v>
      </c>
      <c r="E29" s="3"/>
      <c r="F29"/>
      <c r="G29" t="s">
        <v>41</v>
      </c>
      <c r="H29"/>
      <c r="I29" s="34" t="s">
        <v>15</v>
      </c>
      <c r="J29" s="3">
        <v>26.05</v>
      </c>
      <c r="K29" s="3"/>
      <c r="O29" s="1"/>
      <c r="P29" s="1"/>
    </row>
    <row r="30" spans="2:28" x14ac:dyDescent="0.25">
      <c r="B30" t="s">
        <v>49</v>
      </c>
      <c r="C30" s="34" t="s">
        <v>64</v>
      </c>
      <c r="D30" s="3">
        <v>410</v>
      </c>
      <c r="E30" s="3"/>
      <c r="F30"/>
      <c r="G30" t="s">
        <v>42</v>
      </c>
      <c r="H30"/>
      <c r="I30" s="34" t="s">
        <v>70</v>
      </c>
      <c r="J30" s="3">
        <v>1053</v>
      </c>
      <c r="K30" s="3"/>
    </row>
    <row r="31" spans="2:28" ht="15" customHeight="1" x14ac:dyDescent="0.25">
      <c r="B31" t="s">
        <v>50</v>
      </c>
      <c r="C31" s="34" t="s">
        <v>65</v>
      </c>
      <c r="D31" s="3">
        <v>50</v>
      </c>
      <c r="E31" s="3"/>
      <c r="F31"/>
      <c r="G31" t="s">
        <v>47</v>
      </c>
      <c r="H31"/>
      <c r="I31" s="34" t="s">
        <v>69</v>
      </c>
      <c r="J31" s="3">
        <v>143.69999999999999</v>
      </c>
      <c r="K31" s="3"/>
    </row>
    <row r="32" spans="2:28" ht="15" customHeight="1" x14ac:dyDescent="0.25">
      <c r="B32" t="s">
        <v>51</v>
      </c>
      <c r="C32" s="34" t="s">
        <v>66</v>
      </c>
      <c r="D32" s="3">
        <v>38.76</v>
      </c>
      <c r="E32" s="3"/>
      <c r="F32"/>
      <c r="G32" t="s">
        <v>57</v>
      </c>
      <c r="H32"/>
      <c r="I32" s="34" t="s">
        <v>69</v>
      </c>
      <c r="J32" s="3">
        <v>150</v>
      </c>
      <c r="K32" s="3"/>
    </row>
    <row r="33" spans="2:11" ht="15" customHeight="1" x14ac:dyDescent="0.25">
      <c r="B33" t="s">
        <v>58</v>
      </c>
      <c r="C33" s="40" t="s">
        <v>15</v>
      </c>
      <c r="D33" s="3">
        <v>124.31</v>
      </c>
      <c r="E33" s="3"/>
      <c r="F33"/>
      <c r="G33"/>
      <c r="H33"/>
      <c r="J33" s="3"/>
      <c r="K33" s="3"/>
    </row>
    <row r="34" spans="2:11" ht="15" customHeight="1" x14ac:dyDescent="0.25">
      <c r="B34" t="s">
        <v>60</v>
      </c>
      <c r="C34" s="34" t="s">
        <v>15</v>
      </c>
      <c r="D34" s="3">
        <v>100</v>
      </c>
      <c r="E34" s="3"/>
      <c r="F34"/>
      <c r="G34"/>
      <c r="H34"/>
      <c r="J34" s="3"/>
      <c r="K34" s="3"/>
    </row>
    <row r="35" spans="2:11" ht="15" customHeight="1" x14ac:dyDescent="0.25">
      <c r="B35" t="s">
        <v>61</v>
      </c>
      <c r="C35" s="34" t="s">
        <v>64</v>
      </c>
      <c r="D35" s="3">
        <v>30</v>
      </c>
      <c r="E35" s="3"/>
      <c r="F35"/>
      <c r="G35"/>
      <c r="H35"/>
      <c r="J35" s="3"/>
      <c r="K35" s="3"/>
    </row>
    <row r="36" spans="2:11" ht="15" customHeight="1" x14ac:dyDescent="0.25">
      <c r="B36" t="s">
        <v>62</v>
      </c>
      <c r="C36" s="34" t="s">
        <v>66</v>
      </c>
      <c r="D36" s="3">
        <v>84.43</v>
      </c>
      <c r="E36" s="3"/>
      <c r="F36"/>
      <c r="G36"/>
      <c r="H36"/>
      <c r="J36" s="3"/>
      <c r="K36" s="3"/>
    </row>
    <row r="37" spans="2:11" ht="15" customHeight="1" x14ac:dyDescent="0.25">
      <c r="B37"/>
      <c r="D37" s="3"/>
      <c r="E37" s="3"/>
      <c r="F37"/>
      <c r="G37"/>
      <c r="H37"/>
      <c r="J37" s="3"/>
      <c r="K37" s="3"/>
    </row>
    <row r="38" spans="2:11" ht="15" customHeight="1" x14ac:dyDescent="0.25">
      <c r="C38" s="1"/>
      <c r="D38" s="1"/>
      <c r="E38" s="1"/>
      <c r="I38" s="1"/>
      <c r="J38" s="1"/>
      <c r="K38" s="1"/>
    </row>
  </sheetData>
  <mergeCells count="24">
    <mergeCell ref="G9:I9"/>
    <mergeCell ref="J2:K2"/>
    <mergeCell ref="J3:K3"/>
    <mergeCell ref="J5:K5"/>
    <mergeCell ref="J7:K7"/>
    <mergeCell ref="J8:K8"/>
    <mergeCell ref="J9:K9"/>
    <mergeCell ref="J4:K4"/>
    <mergeCell ref="M2:R2"/>
    <mergeCell ref="T2:Y2"/>
    <mergeCell ref="X8:Y8"/>
    <mergeCell ref="B13:E13"/>
    <mergeCell ref="G13:K13"/>
    <mergeCell ref="D2:E3"/>
    <mergeCell ref="B3:B4"/>
    <mergeCell ref="B7:B8"/>
    <mergeCell ref="B11:K11"/>
    <mergeCell ref="B12:C12"/>
    <mergeCell ref="G12:I12"/>
    <mergeCell ref="G2:I2"/>
    <mergeCell ref="G3:I3"/>
    <mergeCell ref="G5:I5"/>
    <mergeCell ref="G7:I7"/>
    <mergeCell ref="G8:I8"/>
  </mergeCells>
  <conditionalFormatting sqref="B3">
    <cfRule type="cellIs" dxfId="8" priority="5" operator="lessThan">
      <formula>0</formula>
    </cfRule>
    <cfRule type="cellIs" dxfId="7" priority="6" operator="greaterThan">
      <formula>0</formula>
    </cfRule>
    <cfRule type="cellIs" dxfId="6" priority="7" operator="lessThan">
      <formula>0</formula>
    </cfRule>
  </conditionalFormatting>
  <conditionalFormatting sqref="B7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I10">
    <cfRule type="cellIs" dxfId="3" priority="8" operator="greaterThan">
      <formula>0</formula>
    </cfRule>
    <cfRule type="cellIs" dxfId="2" priority="9" operator="lessThan">
      <formula>0</formula>
    </cfRule>
  </conditionalFormatting>
  <conditionalFormatting sqref="J9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Faturamento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Janeiro2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 Batista</dc:creator>
  <cp:keywords/>
  <dc:description/>
  <cp:lastModifiedBy>Guto Batista</cp:lastModifiedBy>
  <cp:revision/>
  <dcterms:created xsi:type="dcterms:W3CDTF">2019-12-26T19:58:33Z</dcterms:created>
  <dcterms:modified xsi:type="dcterms:W3CDTF">2026-07-07T19:37:13Z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2023-07-04T15:49:03Z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c6e17afe-be44-4685-938e-12601ba074ff</vt:lpwstr>
  </property>
  <property fmtid="{D5CDD505-2E9C-101B-9397-08002B2CF9AE}" pid="7" name="MSIP_Label_defa4170-0d19-0005-0004-bc88714345d2_ActionId">
    <vt:lpwstr>633d0c62-55b3-4198-a41f-a36b41a02f62</vt:lpwstr>
  </property>
  <property fmtid="{D5CDD505-2E9C-101B-9397-08002B2CF9AE}" pid="8" name="MSIP_Label_defa4170-0d19-0005-0004-bc88714345d2_ContentBits">
    <vt:lpwstr>0</vt:lpwstr>
  </property>
</Properties>
</file>